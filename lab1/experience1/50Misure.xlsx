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11DD5880-55D9-40FB-BBC9-244E4A6DD5F1}" xr6:coauthVersionLast="47" xr6:coauthVersionMax="47" xr10:uidLastSave="{00000000-0000-0000-0000-000000000000}"/>
  <bookViews>
    <workbookView xWindow="-110" yWindow="-110" windowWidth="19420" windowHeight="10300" xr2:uid="{39E77F14-007D-4521-A93D-B754D5D990B0}"/>
  </bookViews>
  <sheets>
    <sheet name="Foglio1" sheetId="1" r:id="rId1"/>
  </sheets>
  <definedNames>
    <definedName name="_xlchart.v1.0" hidden="1">Foglio1!$A$1:$A$50</definedName>
    <definedName name="_xlchart.v1.1" hidden="1">Foglio1!$A$1:$A$50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/>
  <c r="J18" i="1"/>
  <c r="F9" i="1"/>
  <c r="D3" i="1"/>
  <c r="D2" i="1"/>
  <c r="K10" i="1"/>
  <c r="K9" i="1"/>
  <c r="G2" i="1"/>
</calcChain>
</file>

<file path=xl/sharedStrings.xml><?xml version="1.0" encoding="utf-8"?>
<sst xmlns="http://schemas.openxmlformats.org/spreadsheetml/2006/main" count="15" uniqueCount="15">
  <si>
    <t>media</t>
  </si>
  <si>
    <t>semidismassima</t>
  </si>
  <si>
    <t>I</t>
  </si>
  <si>
    <t xml:space="preserve">g </t>
  </si>
  <si>
    <t xml:space="preserve"> </t>
  </si>
  <si>
    <t>14,54 s</t>
  </si>
  <si>
    <t>14,50 s</t>
  </si>
  <si>
    <t>14,41 s</t>
  </si>
  <si>
    <t>14,16 s</t>
  </si>
  <si>
    <t>14,28 s</t>
  </si>
  <si>
    <t>10,20 s</t>
  </si>
  <si>
    <t>10,10 s</t>
  </si>
  <si>
    <t>10,38 s</t>
  </si>
  <si>
    <t>10,30 s</t>
  </si>
  <si>
    <t>10,35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</si>
</sst>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0" fillId="3" borderId="0" xfId="0" applyFill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DC51DE6D-CE9A-4200-96A9-6E141C16ACB0}">
          <cx:dataId val="0"/>
          <cx:layoutPr>
            <cx:binning intervalClosed="r">
              <cx:binSize val="0.020000000000000004"/>
            </cx:binning>
          </cx:layoutPr>
        </cx:series>
      </cx:plotAreaRegion>
      <cx:axis id="0">
        <cx:catScaling gapWidth="0"/>
        <cx:title>
          <cx:tx>
            <cx:txData>
              <cx:v>T [s]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T [s]</a:t>
              </a:r>
            </a:p>
          </cx:txPr>
        </cx:title>
        <cx:tickLabels/>
      </cx:axis>
      <cx:axis id="1">
        <cx:valScaling/>
        <cx:title>
          <cx:tx>
            <cx:txData>
              <cx:v>Frequenza assoluta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Frequenza assoluta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221790</xdr:colOff>
      <xdr:row>31</xdr:row>
      <xdr:rowOff>151480</xdr:rowOff>
    </xdr:from>
    <xdr:to>
      <xdr:col>16</xdr:col>
      <xdr:colOff>523645</xdr:colOff>
      <xdr:row>45</xdr:row>
      <xdr:rowOff>189027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4F6043A3-E15F-C788-5BB9-C90464D5E1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6197784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A900-6D73-4ED8-BF05-FA743CAF26FC}">
  <dimension ref="A1:P50"/>
  <sheetViews>
    <sheetView tabSelected="1" zoomScale="85" workbookViewId="0">
      <selection activeCell="I15" sqref="I15"/>
    </sheetView>
  </sheetViews>
  <sheetFormatPr defaultRowHeight="14.5" x14ac:dyDescent="0.35"/>
  <cols>
    <col min="2" max="2" width="17.26953125" customWidth="1"/>
    <col min="11" max="11" width="9" bestFit="1" customWidth="1"/>
  </cols>
  <sheetData>
    <row r="1" spans="1:16" ht="16" thickBot="1" x14ac:dyDescent="0.4">
      <c r="A1" s="4">
        <v>1.31</v>
      </c>
      <c r="B1" s="7"/>
    </row>
    <row r="2" spans="1:16" ht="16" thickBot="1" x14ac:dyDescent="0.4">
      <c r="A2" s="6">
        <v>1.31</v>
      </c>
      <c r="B2" s="7"/>
      <c r="D2">
        <f>AVERAGE(A1:A50)</f>
        <v>1.4445999999999999</v>
      </c>
      <c r="F2" s="2">
        <v>14.54</v>
      </c>
      <c r="G2">
        <f>SUM(F2:F6)/5</f>
        <v>14.378</v>
      </c>
      <c r="H2" t="s">
        <v>0</v>
      </c>
      <c r="I2" s="2" t="s">
        <v>5</v>
      </c>
    </row>
    <row r="3" spans="1:16" ht="16" thickBot="1" x14ac:dyDescent="0.4">
      <c r="A3" s="6">
        <v>1.32</v>
      </c>
      <c r="B3" s="7"/>
      <c r="D3">
        <f>STDEV(A1:A50)</f>
        <v>7.3767699363527353E-2</v>
      </c>
      <c r="F3" s="3">
        <v>14.16</v>
      </c>
      <c r="I3" s="3" t="s">
        <v>6</v>
      </c>
    </row>
    <row r="4" spans="1:16" ht="16" thickBot="1" x14ac:dyDescent="0.4">
      <c r="A4" s="6">
        <v>1.32</v>
      </c>
      <c r="B4" s="7"/>
      <c r="F4" s="3">
        <v>14.28</v>
      </c>
      <c r="I4" s="3" t="s">
        <v>7</v>
      </c>
    </row>
    <row r="5" spans="1:16" ht="16" thickBot="1" x14ac:dyDescent="0.4">
      <c r="A5" s="6">
        <v>1.34</v>
      </c>
      <c r="B5" s="8"/>
      <c r="F5" s="3">
        <v>14.41</v>
      </c>
      <c r="I5" s="3" t="s">
        <v>8</v>
      </c>
    </row>
    <row r="6" spans="1:16" ht="16" thickBot="1" x14ac:dyDescent="0.4">
      <c r="A6" s="1">
        <v>1.35</v>
      </c>
      <c r="B6" s="8"/>
      <c r="F6" s="3">
        <v>14.5</v>
      </c>
      <c r="I6" s="3" t="s">
        <v>9</v>
      </c>
    </row>
    <row r="7" spans="1:16" ht="15.5" x14ac:dyDescent="0.35">
      <c r="A7" s="1">
        <v>1.36</v>
      </c>
      <c r="B7" s="7"/>
      <c r="K7">
        <v>0.53100000000000003</v>
      </c>
      <c r="L7">
        <v>48.1</v>
      </c>
      <c r="M7">
        <v>43.1</v>
      </c>
      <c r="N7">
        <v>38.1</v>
      </c>
      <c r="O7">
        <v>33.1</v>
      </c>
      <c r="P7">
        <v>28.1</v>
      </c>
    </row>
    <row r="8" spans="1:16" ht="15.5" x14ac:dyDescent="0.35">
      <c r="A8" s="1">
        <v>1.36</v>
      </c>
      <c r="B8" s="7"/>
    </row>
    <row r="9" spans="1:16" ht="15.5" x14ac:dyDescent="0.35">
      <c r="A9" s="1">
        <v>1.37</v>
      </c>
      <c r="B9" s="7"/>
      <c r="F9">
        <f>(F6-F2)/2</f>
        <v>-1.9999999999999574E-2</v>
      </c>
      <c r="G9" t="s">
        <v>1</v>
      </c>
      <c r="J9" t="s">
        <v>2</v>
      </c>
      <c r="K9">
        <f>0.067*K7*K7+(3*0.01*0.01+0.025*0.025)*0.067/12</f>
        <v>1.8896551583333338E-2</v>
      </c>
    </row>
    <row r="10" spans="1:16" ht="15.5" x14ac:dyDescent="0.35">
      <c r="A10" s="1">
        <v>1.37</v>
      </c>
      <c r="B10" s="7"/>
      <c r="J10" t="s">
        <v>3</v>
      </c>
      <c r="K10">
        <f>4*3.14*3.14*K9/(0.067*1.44*1.44*0.531)</f>
        <v>10.102004016535503</v>
      </c>
    </row>
    <row r="11" spans="1:16" ht="15.5" x14ac:dyDescent="0.35">
      <c r="A11" s="1">
        <v>1.38</v>
      </c>
      <c r="B11" s="8"/>
    </row>
    <row r="12" spans="1:16" ht="16" thickBot="1" x14ac:dyDescent="0.4">
      <c r="A12" s="1">
        <v>1.38</v>
      </c>
      <c r="B12" s="8"/>
    </row>
    <row r="13" spans="1:16" ht="16" thickBot="1" x14ac:dyDescent="0.4">
      <c r="A13" s="1">
        <v>1.39</v>
      </c>
      <c r="B13" s="8"/>
      <c r="G13" s="2" t="s">
        <v>10</v>
      </c>
      <c r="I13">
        <v>10.1</v>
      </c>
    </row>
    <row r="14" spans="1:16" ht="16" thickBot="1" x14ac:dyDescent="0.4">
      <c r="A14" s="1">
        <v>1.39</v>
      </c>
      <c r="B14" s="8"/>
      <c r="G14" s="3" t="s">
        <v>11</v>
      </c>
      <c r="I14">
        <v>10.199999999999999</v>
      </c>
    </row>
    <row r="15" spans="1:16" ht="16" thickBot="1" x14ac:dyDescent="0.4">
      <c r="A15" s="1">
        <v>1.4</v>
      </c>
      <c r="B15" s="7"/>
      <c r="G15" s="3" t="s">
        <v>12</v>
      </c>
      <c r="I15">
        <v>10.3</v>
      </c>
    </row>
    <row r="16" spans="1:16" ht="16" thickBot="1" x14ac:dyDescent="0.4">
      <c r="A16" s="1">
        <v>1.4</v>
      </c>
      <c r="B16" s="7"/>
      <c r="G16" s="3" t="s">
        <v>13</v>
      </c>
      <c r="I16">
        <v>10.35</v>
      </c>
    </row>
    <row r="17" spans="1:10" ht="16" thickBot="1" x14ac:dyDescent="0.4">
      <c r="A17" s="1">
        <v>1.4</v>
      </c>
      <c r="B17" s="7"/>
      <c r="G17" s="3" t="s">
        <v>14</v>
      </c>
      <c r="I17">
        <v>10.38</v>
      </c>
    </row>
    <row r="18" spans="1:10" ht="15.5" x14ac:dyDescent="0.35">
      <c r="A18" s="5">
        <v>1.41</v>
      </c>
      <c r="B18" s="7"/>
      <c r="J18">
        <f>AVERAGE(I13:I17)</f>
        <v>10.266</v>
      </c>
    </row>
    <row r="19" spans="1:10" ht="15.5" x14ac:dyDescent="0.35">
      <c r="A19" s="1">
        <v>1.41</v>
      </c>
      <c r="B19" s="7"/>
      <c r="J19">
        <f>(I17-I13)/2</f>
        <v>0.14000000000000057</v>
      </c>
    </row>
    <row r="20" spans="1:10" ht="15.5" x14ac:dyDescent="0.35">
      <c r="A20" s="1">
        <v>1.42</v>
      </c>
      <c r="B20" s="8"/>
    </row>
    <row r="21" spans="1:10" ht="15.5" x14ac:dyDescent="0.35">
      <c r="A21" s="1">
        <v>1.42</v>
      </c>
      <c r="B21" s="8"/>
    </row>
    <row r="22" spans="1:10" ht="15.5" x14ac:dyDescent="0.35">
      <c r="A22" s="1">
        <v>1.43</v>
      </c>
      <c r="B22" s="8"/>
    </row>
    <row r="23" spans="1:10" ht="15.5" x14ac:dyDescent="0.35">
      <c r="A23" s="1">
        <v>1.44</v>
      </c>
      <c r="B23" s="7" t="s">
        <v>4</v>
      </c>
    </row>
    <row r="24" spans="1:10" ht="15.5" x14ac:dyDescent="0.35">
      <c r="A24" s="1">
        <v>1.45</v>
      </c>
      <c r="B24" s="7"/>
    </row>
    <row r="25" spans="1:10" ht="15.5" x14ac:dyDescent="0.35">
      <c r="A25" s="1">
        <v>1.45</v>
      </c>
      <c r="B25" s="7"/>
    </row>
    <row r="26" spans="1:10" ht="15.5" x14ac:dyDescent="0.35">
      <c r="A26" s="1">
        <v>1.45</v>
      </c>
      <c r="B26" s="7"/>
    </row>
    <row r="27" spans="1:10" ht="15.5" x14ac:dyDescent="0.35">
      <c r="A27" s="1">
        <v>1.45</v>
      </c>
      <c r="B27" s="7"/>
    </row>
    <row r="28" spans="1:10" ht="15.5" x14ac:dyDescent="0.35">
      <c r="A28" s="1">
        <v>1.46</v>
      </c>
      <c r="B28" s="8"/>
    </row>
    <row r="29" spans="1:10" ht="15.5" x14ac:dyDescent="0.35">
      <c r="A29" s="1">
        <v>1.47</v>
      </c>
      <c r="B29" s="8"/>
    </row>
    <row r="30" spans="1:10" ht="15.5" x14ac:dyDescent="0.35">
      <c r="A30" s="1">
        <v>1.47</v>
      </c>
      <c r="B30" s="8"/>
    </row>
    <row r="31" spans="1:10" ht="15.5" x14ac:dyDescent="0.35">
      <c r="A31" s="1">
        <v>1.47</v>
      </c>
      <c r="B31" s="8"/>
    </row>
    <row r="32" spans="1:10" ht="15.5" x14ac:dyDescent="0.35">
      <c r="A32" s="1">
        <v>1.47</v>
      </c>
      <c r="B32" s="8"/>
    </row>
    <row r="33" spans="1:2" ht="15.5" x14ac:dyDescent="0.35">
      <c r="A33" s="5">
        <v>1.48</v>
      </c>
      <c r="B33" s="7"/>
    </row>
    <row r="34" spans="1:2" ht="15.5" x14ac:dyDescent="0.35">
      <c r="A34" s="1">
        <v>1.48</v>
      </c>
      <c r="B34" s="7"/>
    </row>
    <row r="35" spans="1:2" ht="15.5" x14ac:dyDescent="0.35">
      <c r="A35" s="1">
        <v>1.48</v>
      </c>
      <c r="B35" s="7"/>
    </row>
    <row r="36" spans="1:2" ht="15.5" x14ac:dyDescent="0.35">
      <c r="A36" s="1">
        <v>1.49</v>
      </c>
      <c r="B36" s="7"/>
    </row>
    <row r="37" spans="1:2" ht="15.5" x14ac:dyDescent="0.35">
      <c r="A37" s="5">
        <v>1.5</v>
      </c>
      <c r="B37" s="8"/>
    </row>
    <row r="38" spans="1:2" ht="15.5" x14ac:dyDescent="0.35">
      <c r="A38" s="1">
        <v>1.5</v>
      </c>
      <c r="B38" s="8"/>
    </row>
    <row r="39" spans="1:2" ht="15.5" x14ac:dyDescent="0.35">
      <c r="A39" s="1">
        <v>1.5</v>
      </c>
      <c r="B39" s="8"/>
    </row>
    <row r="40" spans="1:2" ht="15.5" x14ac:dyDescent="0.35">
      <c r="A40" s="1">
        <v>1.52</v>
      </c>
      <c r="B40" s="7"/>
    </row>
    <row r="41" spans="1:2" ht="15.5" x14ac:dyDescent="0.35">
      <c r="A41" s="1">
        <v>1.52</v>
      </c>
      <c r="B41" s="7"/>
    </row>
    <row r="42" spans="1:2" ht="15.5" x14ac:dyDescent="0.35">
      <c r="A42" s="1">
        <v>1.53</v>
      </c>
      <c r="B42" s="8"/>
    </row>
    <row r="43" spans="1:2" ht="15.5" x14ac:dyDescent="0.35">
      <c r="A43" s="1">
        <v>1.53</v>
      </c>
      <c r="B43" s="8"/>
    </row>
    <row r="44" spans="1:2" ht="15.5" x14ac:dyDescent="0.35">
      <c r="A44" s="1">
        <v>1.53</v>
      </c>
      <c r="B44" s="8"/>
    </row>
    <row r="45" spans="1:2" ht="15.5" x14ac:dyDescent="0.35">
      <c r="A45" s="1">
        <v>1.54</v>
      </c>
      <c r="B45" s="8"/>
    </row>
    <row r="46" spans="1:2" ht="15.5" x14ac:dyDescent="0.35">
      <c r="A46" s="1">
        <v>1.55</v>
      </c>
      <c r="B46" s="7"/>
    </row>
    <row r="47" spans="1:2" ht="15.5" x14ac:dyDescent="0.35">
      <c r="A47" s="1">
        <v>1.55</v>
      </c>
      <c r="B47" s="7"/>
    </row>
    <row r="48" spans="1:2" ht="15.5" x14ac:dyDescent="0.35">
      <c r="A48" s="1">
        <v>1.56</v>
      </c>
      <c r="B48" s="7"/>
    </row>
    <row r="49" spans="1:1" ht="15.5" x14ac:dyDescent="0.35">
      <c r="A49" s="5">
        <v>1.57</v>
      </c>
    </row>
    <row r="50" spans="1:1" ht="15.5" x14ac:dyDescent="0.35">
      <c r="A50" s="5">
        <v>1.58</v>
      </c>
    </row>
  </sheetData>
  <sortState xmlns:xlrd2="http://schemas.microsoft.com/office/spreadsheetml/2017/richdata2" ref="F3:I6">
    <sortCondition ref="F2:F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Ma. Depalo</dc:creator>
  <cp:lastModifiedBy>Daniele Ma. Depalo</cp:lastModifiedBy>
  <dcterms:created xsi:type="dcterms:W3CDTF">2025-03-28T15:25:59Z</dcterms:created>
  <dcterms:modified xsi:type="dcterms:W3CDTF">2025-03-29T15:51:42Z</dcterms:modified>
</cp:coreProperties>
</file>