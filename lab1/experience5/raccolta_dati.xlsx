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UNI\fisica\EspFisica\esperimentazioni30_05_2025\"/>
    </mc:Choice>
  </mc:AlternateContent>
  <xr:revisionPtr revIDLastSave="0" documentId="13_ncr:1_{568FE417-95DA-4E4E-B47C-BA2B4DC86C85}" xr6:coauthVersionLast="47" xr6:coauthVersionMax="47" xr10:uidLastSave="{00000000-0000-0000-0000-000000000000}"/>
  <bookViews>
    <workbookView xWindow="-120" yWindow="-120" windowWidth="29040" windowHeight="15720" activeTab="5" xr2:uid="{A5E45784-C34E-40EC-8FC2-5DC82A6BE879}"/>
  </bookViews>
  <sheets>
    <sheet name="Foglio1" sheetId="1" r:id="rId1"/>
    <sheet name="Foglio3" sheetId="3" r:id="rId2"/>
    <sheet name="Foglio2" sheetId="2" r:id="rId3"/>
    <sheet name="Foglio4" sheetId="4" r:id="rId4"/>
    <sheet name="Foglio5" sheetId="5" r:id="rId5"/>
    <sheet name="Foglio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6" l="1"/>
  <c r="H9" i="6"/>
  <c r="H10" i="6"/>
  <c r="H11" i="6"/>
  <c r="H12" i="6"/>
  <c r="H13" i="6"/>
  <c r="H7" i="6"/>
  <c r="C8" i="6"/>
  <c r="C9" i="6"/>
  <c r="C10" i="6"/>
  <c r="C11" i="6"/>
  <c r="C12" i="6"/>
  <c r="C13" i="6"/>
  <c r="C7" i="6"/>
  <c r="N14" i="5"/>
  <c r="N13" i="5"/>
  <c r="I16" i="5"/>
  <c r="K13" i="5"/>
  <c r="H13" i="5"/>
  <c r="N7" i="5"/>
  <c r="N8" i="5"/>
  <c r="N9" i="5"/>
  <c r="N10" i="5"/>
  <c r="N11" i="5"/>
  <c r="N12" i="5"/>
  <c r="N6" i="5"/>
  <c r="K7" i="5"/>
  <c r="K8" i="5"/>
  <c r="K9" i="5"/>
  <c r="K10" i="5"/>
  <c r="K11" i="5"/>
  <c r="K12" i="5"/>
  <c r="K6" i="5"/>
  <c r="F14" i="4"/>
  <c r="G14" i="4"/>
  <c r="H14" i="4"/>
  <c r="I14" i="4"/>
  <c r="J14" i="4"/>
  <c r="K14" i="4"/>
  <c r="E14" i="4"/>
  <c r="F8" i="4"/>
  <c r="G8" i="4"/>
  <c r="H8" i="4"/>
  <c r="I8" i="4"/>
  <c r="J8" i="4"/>
  <c r="K8" i="4"/>
  <c r="E8" i="4"/>
  <c r="F7" i="4"/>
  <c r="G7" i="4"/>
  <c r="H7" i="4"/>
  <c r="I7" i="4"/>
  <c r="J7" i="4"/>
  <c r="K7" i="4"/>
  <c r="E7" i="4"/>
  <c r="T14" i="3"/>
  <c r="T13" i="3"/>
  <c r="U10" i="3"/>
  <c r="T10" i="3"/>
  <c r="U4" i="3"/>
  <c r="U5" i="3"/>
  <c r="U6" i="3"/>
  <c r="U7" i="3"/>
  <c r="U8" i="3"/>
  <c r="U9" i="3"/>
  <c r="U3" i="3"/>
  <c r="T4" i="3"/>
  <c r="T5" i="3"/>
  <c r="T6" i="3"/>
  <c r="T7" i="3"/>
  <c r="T8" i="3"/>
  <c r="T9" i="3"/>
  <c r="T3" i="3"/>
  <c r="P9" i="3"/>
  <c r="P4" i="3"/>
  <c r="P5" i="3"/>
  <c r="P6" i="3"/>
  <c r="P7" i="3"/>
  <c r="P8" i="3"/>
  <c r="P3" i="3"/>
  <c r="O4" i="3"/>
  <c r="O5" i="3"/>
  <c r="O6" i="3"/>
  <c r="O7" i="3"/>
  <c r="O8" i="3"/>
  <c r="O9" i="3"/>
  <c r="O3" i="3"/>
  <c r="F8" i="1"/>
  <c r="F10" i="1"/>
  <c r="O18" i="1"/>
  <c r="N18" i="1"/>
  <c r="M18" i="1"/>
  <c r="L18" i="1"/>
  <c r="I18" i="1"/>
  <c r="J18" i="1"/>
  <c r="K18" i="1"/>
  <c r="I16" i="1"/>
  <c r="R27" i="1"/>
  <c r="R28" i="1"/>
  <c r="R29" i="1"/>
  <c r="R30" i="1"/>
  <c r="R31" i="1"/>
  <c r="R32" i="1"/>
  <c r="R26" i="1"/>
  <c r="T19" i="1"/>
  <c r="T20" i="1"/>
  <c r="T21" i="1"/>
  <c r="T22" i="1"/>
  <c r="T23" i="1"/>
  <c r="T24" i="1"/>
  <c r="T18" i="1"/>
  <c r="T11" i="1"/>
  <c r="T12" i="1"/>
  <c r="T13" i="1"/>
  <c r="T14" i="1"/>
  <c r="T15" i="1"/>
  <c r="T16" i="1"/>
  <c r="T10" i="1"/>
  <c r="J17" i="1"/>
  <c r="K17" i="1"/>
  <c r="L17" i="1"/>
  <c r="M17" i="1"/>
  <c r="N17" i="1"/>
  <c r="O17" i="1"/>
  <c r="I17" i="1"/>
  <c r="J16" i="1"/>
  <c r="K16" i="1"/>
  <c r="L16" i="1"/>
  <c r="M16" i="1"/>
  <c r="N16" i="1"/>
  <c r="O16" i="1"/>
  <c r="F13" i="1"/>
  <c r="F14" i="1"/>
  <c r="F15" i="1"/>
  <c r="F16" i="1"/>
  <c r="F18" i="1"/>
  <c r="F19" i="1"/>
  <c r="F20" i="1"/>
  <c r="F21" i="1"/>
  <c r="F12" i="1"/>
  <c r="E14" i="1"/>
  <c r="E15" i="1"/>
  <c r="E17" i="1"/>
  <c r="E18" i="1"/>
  <c r="E19" i="1"/>
  <c r="E20" i="1"/>
  <c r="E21" i="1"/>
  <c r="E12" i="1"/>
  <c r="F11" i="1"/>
  <c r="F9" i="1"/>
  <c r="F7" i="1"/>
  <c r="B16" i="1" s="1"/>
  <c r="E3" i="1"/>
  <c r="E4" i="1"/>
  <c r="E5" i="1"/>
  <c r="E6" i="1"/>
  <c r="E16" i="1" s="1"/>
  <c r="E2" i="1"/>
  <c r="O12" i="1"/>
  <c r="O13" i="1"/>
  <c r="O14" i="1"/>
  <c r="O15" i="1"/>
  <c r="O11" i="1"/>
  <c r="N12" i="1"/>
  <c r="N13" i="1"/>
  <c r="N14" i="1"/>
  <c r="N15" i="1"/>
  <c r="N11" i="1"/>
  <c r="M12" i="1"/>
  <c r="M13" i="1"/>
  <c r="M14" i="1"/>
  <c r="M15" i="1"/>
  <c r="M11" i="1"/>
  <c r="L12" i="1"/>
  <c r="L13" i="1"/>
  <c r="L14" i="1"/>
  <c r="L15" i="1"/>
  <c r="L11" i="1"/>
  <c r="K12" i="1"/>
  <c r="K13" i="1"/>
  <c r="K14" i="1"/>
  <c r="K15" i="1"/>
  <c r="K11" i="1"/>
  <c r="J12" i="1"/>
  <c r="J13" i="1"/>
  <c r="J14" i="1"/>
  <c r="J15" i="1"/>
  <c r="J11" i="1"/>
  <c r="I12" i="1"/>
  <c r="I13" i="1"/>
  <c r="I14" i="1"/>
  <c r="I15" i="1"/>
  <c r="I11" i="1"/>
  <c r="B14" i="1" l="1"/>
  <c r="B17" i="1" s="1"/>
  <c r="F17" i="1"/>
  <c r="F23" i="1" s="1"/>
  <c r="B13" i="1"/>
  <c r="F22" i="1"/>
  <c r="B15" i="1"/>
  <c r="B20" i="1" s="1"/>
  <c r="B21" i="1" s="1"/>
  <c r="B22" i="1" s="1"/>
  <c r="E13" i="1"/>
  <c r="F25" i="1" l="1"/>
  <c r="F24" i="1"/>
  <c r="B18" i="1"/>
  <c r="E23" i="1"/>
  <c r="E22" i="1"/>
  <c r="E25" i="1" l="1"/>
  <c r="E24" i="1"/>
</calcChain>
</file>

<file path=xl/sharedStrings.xml><?xml version="1.0" encoding="utf-8"?>
<sst xmlns="http://schemas.openxmlformats.org/spreadsheetml/2006/main" count="168" uniqueCount="102">
  <si>
    <t>T1</t>
  </si>
  <si>
    <t>T2</t>
  </si>
  <si>
    <t>r1</t>
  </si>
  <si>
    <t>r2</t>
  </si>
  <si>
    <t>r3</t>
  </si>
  <si>
    <t>r4</t>
  </si>
  <si>
    <t>r5</t>
  </si>
  <si>
    <t>r6</t>
  </si>
  <si>
    <t>r7</t>
  </si>
  <si>
    <t>t1</t>
  </si>
  <si>
    <t>t2</t>
  </si>
  <si>
    <t>t3</t>
  </si>
  <si>
    <t>t4</t>
  </si>
  <si>
    <t>t5</t>
  </si>
  <si>
    <t>tm</t>
  </si>
  <si>
    <t>dtm</t>
  </si>
  <si>
    <t>v1</t>
  </si>
  <si>
    <t>v2</t>
  </si>
  <si>
    <t>v3</t>
  </si>
  <si>
    <t>v4</t>
  </si>
  <si>
    <t>v5</t>
  </si>
  <si>
    <t>vlim</t>
  </si>
  <si>
    <t>dvlim</t>
  </si>
  <si>
    <t>L</t>
  </si>
  <si>
    <t>dL</t>
  </si>
  <si>
    <t>L(/2)</t>
  </si>
  <si>
    <t>dL(/2)</t>
  </si>
  <si>
    <t>22,4 ° C</t>
  </si>
  <si>
    <t xml:space="preserve"> </t>
  </si>
  <si>
    <t>22,5 ° C</t>
  </si>
  <si>
    <t>vmed</t>
  </si>
  <si>
    <t>devst</t>
  </si>
  <si>
    <t>vmax</t>
  </si>
  <si>
    <t>vmin</t>
  </si>
  <si>
    <t>d1</t>
  </si>
  <si>
    <t>d2</t>
  </si>
  <si>
    <t>d3</t>
  </si>
  <si>
    <t>d4</t>
  </si>
  <si>
    <t>d5</t>
  </si>
  <si>
    <t>d6</t>
  </si>
  <si>
    <t>d7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</si>
  <si>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</si>
  <si>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</si>
  <si>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</si>
  <si>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</si>
  <si>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</si>
  <si>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</si>
  <si>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</si>
  <si>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</si>
  <si>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</si>
  <si>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</si>
  <si>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</si>
  <si>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</si>
  <si>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</si>
  <si>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</si>
  <si>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p1</t>
  </si>
  <si>
    <t>p2</t>
  </si>
  <si>
    <t>p3</t>
  </si>
  <si>
    <t>p4</t>
  </si>
  <si>
    <t>p5</t>
  </si>
  <si>
    <t>p6</t>
  </si>
  <si>
    <t>p7</t>
  </si>
  <si>
    <t>pb</t>
  </si>
  <si>
    <t>n</t>
  </si>
  <si>
    <t>md</t>
  </si>
  <si>
    <t>dvs</t>
  </si>
  <si>
    <t>s^2</t>
  </si>
  <si>
    <t xml:space="preserve">s </t>
  </si>
  <si>
    <t>t</t>
  </si>
  <si>
    <t>r</t>
  </si>
  <si>
    <r>
      <t>v</t>
    </r>
    <r>
      <rPr>
        <b/>
        <vertAlign val="subscript"/>
        <sz val="11"/>
        <color rgb="FF000000"/>
        <rFont val="Times New Roman"/>
        <family val="1"/>
      </rPr>
      <t>lim</t>
    </r>
    <r>
      <rPr>
        <b/>
        <sz val="11"/>
        <color rgb="FF000000"/>
        <rFont val="Times New Roman"/>
        <family val="1"/>
      </rPr>
      <t xml:space="preserve"> (m/s)</t>
    </r>
  </si>
  <si>
    <r>
      <t>Δ</t>
    </r>
    <r>
      <rPr>
        <b/>
        <vertAlign val="subscript"/>
        <sz val="11"/>
        <color rgb="FF000000"/>
        <rFont val="Times New Roman"/>
        <family val="1"/>
      </rPr>
      <t>vlim</t>
    </r>
    <r>
      <rPr>
        <b/>
        <sz val="11"/>
        <color rgb="FF000000"/>
        <rFont val="Times New Roman"/>
        <family val="1"/>
      </rPr>
      <t xml:space="preserve"> (m/s)</t>
    </r>
  </si>
  <si>
    <t>vlim1</t>
  </si>
  <si>
    <t>vlim2</t>
  </si>
  <si>
    <t>vlim3</t>
  </si>
  <si>
    <t>vlim4</t>
  </si>
  <si>
    <t>vlim5</t>
  </si>
  <si>
    <t>vlim6</t>
  </si>
  <si>
    <t>vlim7</t>
  </si>
  <si>
    <t>n1</t>
  </si>
  <si>
    <t>n2</t>
  </si>
  <si>
    <t>n3</t>
  </si>
  <si>
    <t>n4</t>
  </si>
  <si>
    <t>n5</t>
  </si>
  <si>
    <t>n6</t>
  </si>
  <si>
    <t>n7</t>
  </si>
  <si>
    <t>pi</t>
  </si>
  <si>
    <t>xp</t>
  </si>
  <si>
    <t>Y</t>
  </si>
  <si>
    <t>dY</t>
  </si>
  <si>
    <t>x</t>
  </si>
  <si>
    <t>X</t>
  </si>
  <si>
    <t>V1</t>
  </si>
  <si>
    <t>V2</t>
  </si>
  <si>
    <t>V3</t>
  </si>
  <si>
    <t>V4</t>
  </si>
  <si>
    <t>V5</t>
  </si>
  <si>
    <t>V6</t>
  </si>
  <si>
    <t>V7</t>
  </si>
  <si>
    <t>v</t>
  </si>
  <si>
    <t>dv</t>
  </si>
  <si>
    <t>ralfa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</si>
</sst>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Times New Roman"/>
      <family val="1"/>
    </font>
    <font>
      <b/>
      <vertAlign val="subscript"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11" fontId="1" fillId="0" borderId="0" xfId="0" applyNumberFormat="1" applyFont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Foglio2!$B$5</c:f>
              <c:strCache>
                <c:ptCount val="1"/>
                <c:pt idx="0">
                  <c:v>vlim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Foglio2!$A$6:$A$12</c:f>
              <c:numCache>
                <c:formatCode>General</c:formatCode>
                <c:ptCount val="7"/>
                <c:pt idx="0">
                  <c:v>7.9500000000000003E-4</c:v>
                </c:pt>
                <c:pt idx="1">
                  <c:v>1E-3</c:v>
                </c:pt>
                <c:pt idx="2">
                  <c:v>1.25E-3</c:v>
                </c:pt>
                <c:pt idx="3">
                  <c:v>1.5E-3</c:v>
                </c:pt>
                <c:pt idx="4">
                  <c:v>1.75E-3</c:v>
                </c:pt>
                <c:pt idx="5">
                  <c:v>1.9849999999999998E-3</c:v>
                </c:pt>
                <c:pt idx="6">
                  <c:v>2.3800000000000002E-3</c:v>
                </c:pt>
              </c:numCache>
            </c:numRef>
          </c:xVal>
          <c:yVal>
            <c:numRef>
              <c:f>Foglio2!$B$6:$B$12</c:f>
              <c:numCache>
                <c:formatCode>General</c:formatCode>
                <c:ptCount val="7"/>
                <c:pt idx="0">
                  <c:v>1.0109999999999999E-2</c:v>
                </c:pt>
                <c:pt idx="1">
                  <c:v>1.6740000000000001E-2</c:v>
                </c:pt>
                <c:pt idx="2">
                  <c:v>2.495E-2</c:v>
                </c:pt>
                <c:pt idx="3">
                  <c:v>3.5540000000000002E-2</c:v>
                </c:pt>
                <c:pt idx="4">
                  <c:v>4.9910000000000003E-2</c:v>
                </c:pt>
                <c:pt idx="5">
                  <c:v>6.1920000000000003E-2</c:v>
                </c:pt>
                <c:pt idx="6">
                  <c:v>8.7120000000000003E-2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2E-46D2-8EAA-2DBC7F530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591968"/>
        <c:axId val="459592448"/>
      </c:scatterChart>
      <c:valAx>
        <c:axId val="45959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9592448"/>
        <c:crosses val="autoZero"/>
        <c:crossBetween val="midCat"/>
      </c:valAx>
      <c:valAx>
        <c:axId val="4595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959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Foglio6!$D$6</c:f>
              <c:strCache>
                <c:ptCount val="1"/>
                <c:pt idx="0">
                  <c:v>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Foglio6!$E$7:$E$13</c:f>
                <c:numCache>
                  <c:formatCode>General</c:formatCode>
                  <c:ptCount val="7"/>
                  <c:pt idx="0">
                    <c:v>1.45E-4</c:v>
                  </c:pt>
                  <c:pt idx="1">
                    <c:v>1.2799999999999999E-4</c:v>
                  </c:pt>
                  <c:pt idx="2">
                    <c:v>2.5399999999999999E-4</c:v>
                  </c:pt>
                  <c:pt idx="3">
                    <c:v>1.44E-4</c:v>
                  </c:pt>
                  <c:pt idx="4">
                    <c:v>3.97E-4</c:v>
                  </c:pt>
                  <c:pt idx="5">
                    <c:v>1.222E-3</c:v>
                  </c:pt>
                  <c:pt idx="6">
                    <c:v>2.0630000000000002E-3</c:v>
                  </c:pt>
                </c:numCache>
              </c:numRef>
            </c:plus>
            <c:minus>
              <c:numRef>
                <c:f>Foglio6!$E$7:$E$13</c:f>
                <c:numCache>
                  <c:formatCode>General</c:formatCode>
                  <c:ptCount val="7"/>
                  <c:pt idx="0">
                    <c:v>1.45E-4</c:v>
                  </c:pt>
                  <c:pt idx="1">
                    <c:v>1.2799999999999999E-4</c:v>
                  </c:pt>
                  <c:pt idx="2">
                    <c:v>2.5399999999999999E-4</c:v>
                  </c:pt>
                  <c:pt idx="3">
                    <c:v>1.44E-4</c:v>
                  </c:pt>
                  <c:pt idx="4">
                    <c:v>3.97E-4</c:v>
                  </c:pt>
                  <c:pt idx="5">
                    <c:v>1.222E-3</c:v>
                  </c:pt>
                  <c:pt idx="6">
                    <c:v>2.0630000000000002E-3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Foglio6!$C$7:$C$13</c:f>
              <c:numCache>
                <c:formatCode>General</c:formatCode>
                <c:ptCount val="7"/>
                <c:pt idx="0">
                  <c:v>9.3268347588456568E-7</c:v>
                </c:pt>
                <c:pt idx="1">
                  <c:v>1.4573631452972527E-6</c:v>
                </c:pt>
                <c:pt idx="2">
                  <c:v>2.2495933696510465E-6</c:v>
                </c:pt>
                <c:pt idx="3">
                  <c:v>3.2073721102492842E-6</c:v>
                </c:pt>
                <c:pt idx="4">
                  <c:v>4.329052125143349E-6</c:v>
                </c:pt>
                <c:pt idx="5">
                  <c:v>5.531642813576128E-6</c:v>
                </c:pt>
                <c:pt idx="6">
                  <c:v>7.8738972668033245E-6</c:v>
                </c:pt>
              </c:numCache>
            </c:numRef>
          </c:xVal>
          <c:yVal>
            <c:numRef>
              <c:f>Foglio6!$D$7:$D$13</c:f>
              <c:numCache>
                <c:formatCode>General</c:formatCode>
                <c:ptCount val="7"/>
                <c:pt idx="0">
                  <c:v>1.0115000000000001E-2</c:v>
                </c:pt>
                <c:pt idx="1">
                  <c:v>1.6737999999999999E-2</c:v>
                </c:pt>
                <c:pt idx="2">
                  <c:v>2.495E-2</c:v>
                </c:pt>
                <c:pt idx="3">
                  <c:v>3.5541000000000003E-2</c:v>
                </c:pt>
                <c:pt idx="4">
                  <c:v>4.9910999999999997E-2</c:v>
                </c:pt>
                <c:pt idx="5">
                  <c:v>6.1920000000000003E-2</c:v>
                </c:pt>
                <c:pt idx="6">
                  <c:v>8.7115999999999999E-2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64-40BD-84D6-EF9195DE0870}"/>
            </c:ext>
          </c:extLst>
        </c:ser>
        <c:ser>
          <c:idx val="1"/>
          <c:order val="1"/>
          <c:tx>
            <c:v>vexp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Foglio6!$G$7:$G$13</c:f>
              <c:numCache>
                <c:formatCode>0.00E+00</c:formatCode>
                <c:ptCount val="7"/>
                <c:pt idx="0">
                  <c:v>9.3268300000000004E-7</c:v>
                </c:pt>
                <c:pt idx="1">
                  <c:v>1.45736E-6</c:v>
                </c:pt>
                <c:pt idx="2">
                  <c:v>2.2495900000000002E-6</c:v>
                </c:pt>
                <c:pt idx="3">
                  <c:v>3.20737E-6</c:v>
                </c:pt>
                <c:pt idx="4">
                  <c:v>4.3290499999999997E-6</c:v>
                </c:pt>
                <c:pt idx="5">
                  <c:v>5.5316399999999999E-6</c:v>
                </c:pt>
                <c:pt idx="6">
                  <c:v>7.8738999999999993E-6</c:v>
                </c:pt>
              </c:numCache>
            </c:numRef>
          </c:xVal>
          <c:yVal>
            <c:numRef>
              <c:f>Foglio6!$H$7:$H$13</c:f>
              <c:numCache>
                <c:formatCode>General</c:formatCode>
                <c:ptCount val="7"/>
                <c:pt idx="0">
                  <c:v>1.031816206550978E-2</c:v>
                </c:pt>
                <c:pt idx="1">
                  <c:v>1.6227247638999645E-2</c:v>
                </c:pt>
                <c:pt idx="2">
                  <c:v>2.5149560552042056E-2</c:v>
                </c:pt>
                <c:pt idx="3">
                  <c:v>3.5936326017911052E-2</c:v>
                </c:pt>
                <c:pt idx="4">
                  <c:v>4.8568992348401313E-2</c:v>
                </c:pt>
                <c:pt idx="5">
                  <c:v>6.2112896757325502E-2</c:v>
                </c:pt>
                <c:pt idx="6">
                  <c:v>8.84920053942201E-2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64-40BD-84D6-EF9195DE087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83955552"/>
        <c:axId val="1483971392"/>
      </c:scatterChart>
      <c:valAx>
        <c:axId val="148395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r^α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3971392"/>
        <c:crosses val="autoZero"/>
        <c:crossBetween val="midCat"/>
      </c:valAx>
      <c:valAx>
        <c:axId val="148397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vlim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395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584200</xdr:colOff>
      <xdr:row>13</xdr:row>
      <xdr:rowOff>131762</xdr:rowOff>
    </xdr:from>
    <xdr:to>
      <xdr:col>25</xdr:col>
      <xdr:colOff>49310</xdr:colOff>
      <xdr:row>24</xdr:row>
      <xdr:rowOff>74713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200A746-70ED-BAD2-DC8E-59B62B574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2505075"/>
          <a:ext cx="1909860" cy="19511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334272</xdr:colOff>
      <xdr:row>2</xdr:row>
      <xdr:rowOff>85764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05CA50F-E532-0DEE-5E72-F2ED23DB5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6430272" cy="27626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304928</xdr:colOff>
      <xdr:row>14</xdr:row>
      <xdr:rowOff>28818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4D00D11-825B-D929-1BE6-8CCF14A99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952500"/>
          <a:ext cx="914528" cy="1743318"/>
        </a:xfrm>
        <a:prstGeom prst="rect">
          <a:avLst/>
        </a:prstGeom>
      </xdr:spPr>
    </xdr:pic>
    <xdr:clientData/>
  </xdr:twoCellAnchor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1D19B67-EA5E-89A0-F54B-F5591AC97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362607</xdr:colOff>
      <xdr:row>4</xdr:row>
      <xdr:rowOff>44668</xdr:rowOff>
    </xdr:from>
    <xdr:to>
      <xdr:col>16</xdr:col>
      <xdr:colOff>572157</xdr:colOff>
      <xdr:row>27</xdr:row>
      <xdr:rowOff>178018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C7EB3B1-44A5-FC2C-CE1D-6EAB7C740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2BEB-BD5E-46FF-BB97-A32A6061E78E}">
  <dimension ref="A1:U32"/>
  <sheetViews>
    <sheetView topLeftCell="F7" zoomScale="130" zoomScaleNormal="130" workbookViewId="0">
      <selection activeCell="Q18" sqref="Q18:R24"/>
    </sheetView>
  </sheetViews>
  <sheetFormatPr defaultRowHeight="15" x14ac:dyDescent="0.25"/>
  <cols>
    <col min="2" max="2" width="11.28515625" customWidth="1"/>
    <col min="3" max="3" width="15.5703125" customWidth="1"/>
    <col min="12" max="12" width="9.140625" bestFit="1" customWidth="1"/>
    <col min="20" max="20" width="10.140625" bestFit="1" customWidth="1"/>
  </cols>
  <sheetData>
    <row r="1" spans="1:20" x14ac:dyDescent="0.25">
      <c r="A1" s="1" t="s">
        <v>23</v>
      </c>
      <c r="B1" s="1" t="s">
        <v>24</v>
      </c>
      <c r="D1" s="1" t="s">
        <v>4</v>
      </c>
      <c r="E1" s="1" t="s">
        <v>0</v>
      </c>
      <c r="F1" s="1" t="s">
        <v>1</v>
      </c>
      <c r="H1" s="1"/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20" x14ac:dyDescent="0.25">
      <c r="A2" s="1">
        <v>22</v>
      </c>
      <c r="B2" s="1">
        <v>0.1</v>
      </c>
      <c r="D2" s="1"/>
      <c r="E2" s="1">
        <f>L2-F2</f>
        <v>3.09</v>
      </c>
      <c r="F2" s="1">
        <v>3.09</v>
      </c>
      <c r="H2" s="1" t="s">
        <v>9</v>
      </c>
      <c r="I2" s="1">
        <v>22</v>
      </c>
      <c r="J2" s="1">
        <v>13.2</v>
      </c>
      <c r="K2" s="1">
        <v>8.74</v>
      </c>
      <c r="L2" s="1">
        <v>6.18</v>
      </c>
      <c r="M2" s="1">
        <v>4.41</v>
      </c>
      <c r="N2" s="1">
        <v>3.62</v>
      </c>
      <c r="O2" s="1">
        <v>2.5</v>
      </c>
    </row>
    <row r="3" spans="1:20" x14ac:dyDescent="0.25">
      <c r="A3" s="1" t="s">
        <v>25</v>
      </c>
      <c r="B3" s="1" t="s">
        <v>26</v>
      </c>
      <c r="D3" s="1"/>
      <c r="E3" s="1">
        <f t="shared" ref="E3:E6" si="0">L3-F3</f>
        <v>3.11</v>
      </c>
      <c r="F3" s="1">
        <v>3.1</v>
      </c>
      <c r="H3" s="1" t="s">
        <v>10</v>
      </c>
      <c r="I3" s="1">
        <v>21.38</v>
      </c>
      <c r="J3" s="1">
        <v>13.02</v>
      </c>
      <c r="K3" s="1">
        <v>8.92</v>
      </c>
      <c r="L3" s="1">
        <v>6.21</v>
      </c>
      <c r="M3" s="1">
        <v>4.37</v>
      </c>
      <c r="N3" s="1">
        <v>3.56</v>
      </c>
      <c r="O3" s="1">
        <v>2.59</v>
      </c>
    </row>
    <row r="4" spans="1:20" x14ac:dyDescent="0.25">
      <c r="A4" s="1">
        <v>11</v>
      </c>
      <c r="B4" s="1">
        <v>0.1</v>
      </c>
      <c r="D4" s="1"/>
      <c r="E4" s="1">
        <f t="shared" si="0"/>
        <v>3.0900000000000003</v>
      </c>
      <c r="F4" s="1">
        <v>3.11</v>
      </c>
      <c r="H4" s="1" t="s">
        <v>11</v>
      </c>
      <c r="I4" s="1">
        <v>21.8</v>
      </c>
      <c r="J4" s="1">
        <v>13.22</v>
      </c>
      <c r="K4" s="1">
        <v>8.82</v>
      </c>
      <c r="L4" s="1">
        <v>6.2</v>
      </c>
      <c r="M4" s="1">
        <v>4.4400000000000004</v>
      </c>
      <c r="N4" s="1">
        <v>3.48</v>
      </c>
      <c r="O4" s="1">
        <v>2.4700000000000002</v>
      </c>
    </row>
    <row r="5" spans="1:20" x14ac:dyDescent="0.25">
      <c r="D5" s="1"/>
      <c r="E5" s="1">
        <f t="shared" si="0"/>
        <v>3.08</v>
      </c>
      <c r="F5" s="1">
        <v>3.12</v>
      </c>
      <c r="H5" s="1" t="s">
        <v>12</v>
      </c>
      <c r="I5" s="1">
        <v>21.71</v>
      </c>
      <c r="J5" s="1">
        <v>13.2</v>
      </c>
      <c r="K5" s="1">
        <v>8.85</v>
      </c>
      <c r="L5" s="1">
        <v>6.2</v>
      </c>
      <c r="M5" s="1">
        <v>4.42</v>
      </c>
      <c r="N5" s="1">
        <v>3.62</v>
      </c>
      <c r="O5" s="1">
        <v>2.54</v>
      </c>
    </row>
    <row r="6" spans="1:20" x14ac:dyDescent="0.25">
      <c r="D6" s="1"/>
      <c r="E6" s="1">
        <f t="shared" si="0"/>
        <v>3.0700000000000003</v>
      </c>
      <c r="F6" s="1">
        <v>3.09</v>
      </c>
      <c r="H6" s="1" t="s">
        <v>13</v>
      </c>
      <c r="I6" s="1">
        <v>21.87</v>
      </c>
      <c r="J6" s="1">
        <v>13.08</v>
      </c>
      <c r="K6" s="1">
        <v>8.76</v>
      </c>
      <c r="L6" s="1">
        <v>6.16</v>
      </c>
      <c r="M6" s="1">
        <v>4.4000000000000004</v>
      </c>
      <c r="N6" s="1">
        <v>3.49</v>
      </c>
      <c r="O6" s="1">
        <v>2.5299999999999998</v>
      </c>
    </row>
    <row r="7" spans="1:20" x14ac:dyDescent="0.25">
      <c r="A7" t="s">
        <v>0</v>
      </c>
      <c r="B7" t="s">
        <v>29</v>
      </c>
      <c r="D7" s="1"/>
      <c r="E7" s="1">
        <v>3.05</v>
      </c>
      <c r="F7" s="1">
        <f>6.1-E7</f>
        <v>3.05</v>
      </c>
      <c r="H7" s="1" t="s">
        <v>14</v>
      </c>
      <c r="I7" s="1"/>
      <c r="J7" s="1"/>
      <c r="K7" s="1"/>
      <c r="L7" s="1"/>
      <c r="M7" s="1"/>
      <c r="N7" s="1"/>
      <c r="O7" s="1"/>
    </row>
    <row r="8" spans="1:20" x14ac:dyDescent="0.25">
      <c r="A8" t="s">
        <v>1</v>
      </c>
      <c r="B8" t="s">
        <v>27</v>
      </c>
      <c r="D8" s="1"/>
      <c r="E8" s="1">
        <v>3.06</v>
      </c>
      <c r="F8" s="1">
        <f>6.12-E8</f>
        <v>3.06</v>
      </c>
      <c r="H8" s="1" t="s">
        <v>15</v>
      </c>
      <c r="I8" s="1"/>
      <c r="J8" s="1"/>
      <c r="K8" s="1"/>
      <c r="L8" s="1"/>
      <c r="M8" s="1"/>
      <c r="N8" s="1"/>
      <c r="O8" s="1"/>
    </row>
    <row r="9" spans="1:20" x14ac:dyDescent="0.25">
      <c r="D9" s="1"/>
      <c r="E9" s="1">
        <v>3.03</v>
      </c>
      <c r="F9" s="1">
        <f>6.14-E9</f>
        <v>3.11</v>
      </c>
    </row>
    <row r="10" spans="1:20" x14ac:dyDescent="0.25">
      <c r="D10" s="1"/>
      <c r="E10" s="1">
        <v>3.08</v>
      </c>
      <c r="F10" s="1">
        <f>6.21-E10</f>
        <v>3.13</v>
      </c>
      <c r="H10" s="1"/>
      <c r="I10" s="1" t="s">
        <v>2</v>
      </c>
      <c r="J10" s="1" t="s">
        <v>3</v>
      </c>
      <c r="K10" s="1" t="s">
        <v>4</v>
      </c>
      <c r="L10" s="1" t="s">
        <v>5</v>
      </c>
      <c r="M10" s="1" t="s">
        <v>6</v>
      </c>
      <c r="N10" s="1" t="s">
        <v>7</v>
      </c>
      <c r="O10" s="1" t="s">
        <v>8</v>
      </c>
      <c r="Q10" t="s">
        <v>34</v>
      </c>
      <c r="R10">
        <v>1.5900000000000001E-3</v>
      </c>
      <c r="S10" t="s">
        <v>2</v>
      </c>
      <c r="T10">
        <f>R10/2</f>
        <v>7.9500000000000003E-4</v>
      </c>
    </row>
    <row r="11" spans="1:20" x14ac:dyDescent="0.25">
      <c r="D11" s="1"/>
      <c r="E11" s="1">
        <v>3.07</v>
      </c>
      <c r="F11" s="1">
        <f>6.17-E11</f>
        <v>3.1</v>
      </c>
      <c r="H11" s="1" t="s">
        <v>16</v>
      </c>
      <c r="I11" s="1">
        <f t="shared" ref="I11:O11" si="1">($A$2/100)/I2</f>
        <v>0.01</v>
      </c>
      <c r="J11" s="1">
        <f t="shared" si="1"/>
        <v>1.6666666666666666E-2</v>
      </c>
      <c r="K11" s="1">
        <f t="shared" si="1"/>
        <v>2.5171624713958809E-2</v>
      </c>
      <c r="L11" s="1">
        <f t="shared" si="1"/>
        <v>3.5598705501618123E-2</v>
      </c>
      <c r="M11" s="1">
        <f t="shared" si="1"/>
        <v>4.9886621315192739E-2</v>
      </c>
      <c r="N11" s="1">
        <f t="shared" si="1"/>
        <v>6.0773480662983423E-2</v>
      </c>
      <c r="O11" s="1">
        <f t="shared" si="1"/>
        <v>8.7999999999999995E-2</v>
      </c>
      <c r="Q11" t="s">
        <v>35</v>
      </c>
      <c r="R11">
        <v>2E-3</v>
      </c>
      <c r="S11" t="s">
        <v>3</v>
      </c>
      <c r="T11">
        <f t="shared" ref="T11:T16" si="2">R11/2</f>
        <v>1E-3</v>
      </c>
    </row>
    <row r="12" spans="1:20" x14ac:dyDescent="0.25">
      <c r="D12" s="3"/>
      <c r="E12" s="3">
        <f>($A$4/100)/E2</f>
        <v>3.5598705501618123E-2</v>
      </c>
      <c r="F12" s="3">
        <f>($A$4/100)/F2</f>
        <v>3.5598705501618123E-2</v>
      </c>
      <c r="H12" s="1" t="s">
        <v>17</v>
      </c>
      <c r="I12" s="1">
        <f t="shared" ref="I12:O15" si="3">($A$2/100)/I3</f>
        <v>1.028999064546305E-2</v>
      </c>
      <c r="J12" s="1">
        <f t="shared" si="3"/>
        <v>1.6897081413210446E-2</v>
      </c>
      <c r="K12" s="1">
        <f t="shared" si="3"/>
        <v>2.4663677130044845E-2</v>
      </c>
      <c r="L12" s="1">
        <f t="shared" si="3"/>
        <v>3.542673107890499E-2</v>
      </c>
      <c r="M12" s="1">
        <f t="shared" si="3"/>
        <v>5.0343249427917618E-2</v>
      </c>
      <c r="N12" s="1">
        <f t="shared" si="3"/>
        <v>6.1797752808988762E-2</v>
      </c>
      <c r="O12" s="1">
        <f t="shared" si="3"/>
        <v>8.4942084942084953E-2</v>
      </c>
      <c r="Q12" t="s">
        <v>36</v>
      </c>
      <c r="R12">
        <v>2.5000000000000001E-3</v>
      </c>
      <c r="S12" t="s">
        <v>4</v>
      </c>
      <c r="T12">
        <f t="shared" si="2"/>
        <v>1.25E-3</v>
      </c>
    </row>
    <row r="13" spans="1:20" x14ac:dyDescent="0.25">
      <c r="A13" t="s">
        <v>64</v>
      </c>
      <c r="B13">
        <f>AVERAGE(E2:E11)</f>
        <v>3.0729999999999995</v>
      </c>
      <c r="D13" s="3"/>
      <c r="E13" s="3">
        <f t="shared" ref="E13:F21" si="4">($A$4/100)/E3</f>
        <v>3.5369774919614148E-2</v>
      </c>
      <c r="F13" s="3">
        <f t="shared" si="4"/>
        <v>3.5483870967741936E-2</v>
      </c>
      <c r="H13" s="1" t="s">
        <v>18</v>
      </c>
      <c r="I13" s="1">
        <f t="shared" si="3"/>
        <v>1.0091743119266056E-2</v>
      </c>
      <c r="J13" s="1">
        <f t="shared" si="3"/>
        <v>1.6641452344931921E-2</v>
      </c>
      <c r="K13" s="1">
        <f t="shared" si="3"/>
        <v>2.494331065759637E-2</v>
      </c>
      <c r="L13" s="1">
        <f t="shared" si="3"/>
        <v>3.5483870967741936E-2</v>
      </c>
      <c r="M13" s="1">
        <f t="shared" si="3"/>
        <v>4.9549549549549543E-2</v>
      </c>
      <c r="N13" s="1">
        <f t="shared" si="3"/>
        <v>6.3218390804597707E-2</v>
      </c>
      <c r="O13" s="1">
        <f t="shared" si="3"/>
        <v>8.9068825910931168E-2</v>
      </c>
      <c r="Q13" t="s">
        <v>37</v>
      </c>
      <c r="R13">
        <v>3.0000000000000001E-3</v>
      </c>
      <c r="S13" t="s">
        <v>5</v>
      </c>
      <c r="T13">
        <f t="shared" si="2"/>
        <v>1.5E-3</v>
      </c>
    </row>
    <row r="14" spans="1:20" x14ac:dyDescent="0.25">
      <c r="A14" t="s">
        <v>64</v>
      </c>
      <c r="B14">
        <f>AVERAGE(F1:F11)</f>
        <v>3.0959999999999996</v>
      </c>
      <c r="D14" s="3"/>
      <c r="E14" s="3">
        <f t="shared" si="4"/>
        <v>3.5598705501618116E-2</v>
      </c>
      <c r="F14" s="3">
        <f t="shared" si="4"/>
        <v>3.5369774919614148E-2</v>
      </c>
      <c r="H14" s="1" t="s">
        <v>19</v>
      </c>
      <c r="I14" s="1">
        <f t="shared" si="3"/>
        <v>1.0133578995854445E-2</v>
      </c>
      <c r="J14" s="1">
        <f t="shared" si="3"/>
        <v>1.6666666666666666E-2</v>
      </c>
      <c r="K14" s="1">
        <f t="shared" si="3"/>
        <v>2.4858757062146894E-2</v>
      </c>
      <c r="L14" s="1">
        <f t="shared" si="3"/>
        <v>3.5483870967741936E-2</v>
      </c>
      <c r="M14" s="1">
        <f t="shared" si="3"/>
        <v>4.9773755656108601E-2</v>
      </c>
      <c r="N14" s="1">
        <f t="shared" si="3"/>
        <v>6.0773480662983423E-2</v>
      </c>
      <c r="O14" s="1">
        <f t="shared" si="3"/>
        <v>8.6614173228346455E-2</v>
      </c>
      <c r="Q14" t="s">
        <v>38</v>
      </c>
      <c r="R14">
        <v>3.5000000000000001E-3</v>
      </c>
      <c r="S14" t="s">
        <v>6</v>
      </c>
      <c r="T14">
        <f t="shared" si="2"/>
        <v>1.75E-3</v>
      </c>
    </row>
    <row r="15" spans="1:20" x14ac:dyDescent="0.25">
      <c r="A15" t="s">
        <v>65</v>
      </c>
      <c r="B15">
        <f>_xlfn.STDEV.S(E2:E11)</f>
        <v>2.2632326929023991E-2</v>
      </c>
      <c r="D15" s="3"/>
      <c r="E15" s="3">
        <f t="shared" si="4"/>
        <v>3.5714285714285712E-2</v>
      </c>
      <c r="F15" s="3">
        <f t="shared" si="4"/>
        <v>3.5256410256410256E-2</v>
      </c>
      <c r="H15" s="1" t="s">
        <v>20</v>
      </c>
      <c r="I15" s="1">
        <f t="shared" si="3"/>
        <v>1.0059442158207589E-2</v>
      </c>
      <c r="J15" s="1">
        <f t="shared" si="3"/>
        <v>1.6819571865443424E-2</v>
      </c>
      <c r="K15" s="1">
        <f t="shared" si="3"/>
        <v>2.5114155251141555E-2</v>
      </c>
      <c r="L15" s="1">
        <f t="shared" si="3"/>
        <v>3.5714285714285712E-2</v>
      </c>
      <c r="M15" s="1">
        <f t="shared" si="3"/>
        <v>4.9999999999999996E-2</v>
      </c>
      <c r="N15" s="1">
        <f t="shared" si="3"/>
        <v>6.3037249283667621E-2</v>
      </c>
      <c r="O15" s="1">
        <f t="shared" si="3"/>
        <v>8.6956521739130446E-2</v>
      </c>
      <c r="Q15" t="s">
        <v>39</v>
      </c>
      <c r="R15">
        <v>3.9699999999999996E-3</v>
      </c>
      <c r="S15" t="s">
        <v>7</v>
      </c>
      <c r="T15">
        <f t="shared" si="2"/>
        <v>1.9849999999999998E-3</v>
      </c>
    </row>
    <row r="16" spans="1:20" x14ac:dyDescent="0.25">
      <c r="A16" t="s">
        <v>65</v>
      </c>
      <c r="B16">
        <f>_xlfn.STDEV.S(F2:F11)</f>
        <v>2.5033311140691468E-2</v>
      </c>
      <c r="D16" s="3"/>
      <c r="E16" s="3">
        <f t="shared" si="4"/>
        <v>3.5830618892508138E-2</v>
      </c>
      <c r="F16" s="3">
        <f t="shared" si="4"/>
        <v>3.5598705501618123E-2</v>
      </c>
      <c r="H16" s="1" t="s">
        <v>21</v>
      </c>
      <c r="I16" s="1">
        <f>AVERAGE(I11:I15)</f>
        <v>1.0114950983758229E-2</v>
      </c>
      <c r="J16" s="1">
        <f t="shared" ref="J16:O16" si="5">AVERAGE(J11:J15)</f>
        <v>1.6738287791383821E-2</v>
      </c>
      <c r="K16" s="1">
        <f t="shared" si="5"/>
        <v>2.4950304962977697E-2</v>
      </c>
      <c r="L16" s="1">
        <f t="shared" si="5"/>
        <v>3.5541492846058544E-2</v>
      </c>
      <c r="M16" s="1">
        <f t="shared" si="5"/>
        <v>4.9910635189753694E-2</v>
      </c>
      <c r="N16" s="1">
        <f t="shared" si="5"/>
        <v>6.1920070844644182E-2</v>
      </c>
      <c r="O16" s="1">
        <f t="shared" si="5"/>
        <v>8.7116321164098606E-2</v>
      </c>
      <c r="Q16" t="s">
        <v>40</v>
      </c>
      <c r="R16">
        <v>4.7600000000000003E-3</v>
      </c>
      <c r="S16" t="s">
        <v>8</v>
      </c>
      <c r="T16">
        <f t="shared" si="2"/>
        <v>2.3800000000000002E-3</v>
      </c>
    </row>
    <row r="17" spans="1:21" x14ac:dyDescent="0.25">
      <c r="B17">
        <f>B14-B16</f>
        <v>3.0709666888593081</v>
      </c>
      <c r="D17" s="3"/>
      <c r="E17" s="3">
        <f t="shared" si="4"/>
        <v>3.6065573770491806E-2</v>
      </c>
      <c r="F17" s="3">
        <f t="shared" si="4"/>
        <v>3.6065573770491806E-2</v>
      </c>
      <c r="H17" s="1" t="s">
        <v>22</v>
      </c>
      <c r="I17" s="1">
        <f>(MAX(I11:I15)-MIN(I11:I15))/2</f>
        <v>1.4499532273152486E-4</v>
      </c>
      <c r="J17" s="1">
        <f t="shared" ref="J17:O17" si="6">(MAX(J11:J15)-MIN(J11:J15))/2</f>
        <v>1.2781453413926273E-4</v>
      </c>
      <c r="K17" s="1">
        <f t="shared" si="6"/>
        <v>2.5397379195698198E-4</v>
      </c>
      <c r="L17" s="1">
        <f t="shared" si="6"/>
        <v>1.4377731769036131E-4</v>
      </c>
      <c r="M17" s="1">
        <f t="shared" si="6"/>
        <v>3.968499391840373E-4</v>
      </c>
      <c r="N17" s="1">
        <f t="shared" si="6"/>
        <v>1.2224550708071422E-3</v>
      </c>
      <c r="O17" s="1">
        <f t="shared" si="6"/>
        <v>2.0633704844231077E-3</v>
      </c>
    </row>
    <row r="18" spans="1:21" x14ac:dyDescent="0.25">
      <c r="B18">
        <f>B13+B15</f>
        <v>3.0956323269290236</v>
      </c>
      <c r="D18" s="3"/>
      <c r="E18" s="3">
        <f t="shared" si="4"/>
        <v>3.5947712418300651E-2</v>
      </c>
      <c r="F18" s="3">
        <f t="shared" si="4"/>
        <v>3.5947712418300651E-2</v>
      </c>
      <c r="H18" s="2" t="s">
        <v>63</v>
      </c>
      <c r="I18">
        <f>2*9.8*($R26-$U$26)*($T10^2)/(9*I16)</f>
        <v>0.88957719435862659</v>
      </c>
      <c r="J18">
        <f>2*9.8*(R27-U26)*(T11^2)/(9*J16)</f>
        <v>0.84932995266196487</v>
      </c>
      <c r="K18">
        <f>2*9.81*(R28-U26)*(T12^2)/(9*K16)</f>
        <v>0.89333685682191255</v>
      </c>
      <c r="L18">
        <f>2*9.8*(R29-U26)*(T13^2)/(9*L16)</f>
        <v>0.9026649422565689</v>
      </c>
      <c r="M18">
        <f>2*9.8*(R30-U26)*(T14^2)/(9*M16)</f>
        <v>0.88114512601834316</v>
      </c>
      <c r="N18">
        <f>2*9.8*(R31-U26)*(T15^2)/(9*N16)</f>
        <v>0.91024364154076942</v>
      </c>
      <c r="O18">
        <f>2*9.8*(R32-U26)*(T16^2)/(9*O16)</f>
        <v>0.9286508812026244</v>
      </c>
      <c r="Q18" t="s">
        <v>41</v>
      </c>
      <c r="R18">
        <v>1.64E-3</v>
      </c>
      <c r="S18" t="s">
        <v>48</v>
      </c>
      <c r="T18">
        <f>R18/100</f>
        <v>1.6399999999999999E-5</v>
      </c>
    </row>
    <row r="19" spans="1:21" x14ac:dyDescent="0.25">
      <c r="D19" s="3"/>
      <c r="E19" s="3">
        <f t="shared" si="4"/>
        <v>3.6303630363036306E-2</v>
      </c>
      <c r="F19" s="3">
        <f t="shared" si="4"/>
        <v>3.5369774919614148E-2</v>
      </c>
      <c r="Q19" t="s">
        <v>42</v>
      </c>
      <c r="R19">
        <v>3.2599999999999999E-3</v>
      </c>
      <c r="S19" t="s">
        <v>49</v>
      </c>
      <c r="T19">
        <f t="shared" ref="T19:T24" si="7">R19/100</f>
        <v>3.26E-5</v>
      </c>
    </row>
    <row r="20" spans="1:21" x14ac:dyDescent="0.25">
      <c r="A20" t="s">
        <v>66</v>
      </c>
      <c r="B20">
        <f>(B15*B15+B16*B16)/2</f>
        <v>5.6944444444444599E-4</v>
      </c>
      <c r="D20" s="3"/>
      <c r="E20" s="3">
        <f t="shared" si="4"/>
        <v>3.5714285714285712E-2</v>
      </c>
      <c r="F20" s="3">
        <f t="shared" si="4"/>
        <v>3.5143769968051117E-2</v>
      </c>
      <c r="Q20" t="s">
        <v>43</v>
      </c>
      <c r="R20">
        <v>6.3800000000000003E-3</v>
      </c>
      <c r="S20" t="s">
        <v>50</v>
      </c>
      <c r="T20">
        <f t="shared" si="7"/>
        <v>6.3800000000000006E-5</v>
      </c>
    </row>
    <row r="21" spans="1:21" x14ac:dyDescent="0.25">
      <c r="A21" t="s">
        <v>67</v>
      </c>
      <c r="B21">
        <f>SQRT(B20)</f>
        <v>2.3863035105460621E-2</v>
      </c>
      <c r="D21" s="3"/>
      <c r="E21" s="3">
        <f t="shared" si="4"/>
        <v>3.5830618892508145E-2</v>
      </c>
      <c r="F21" s="3">
        <f t="shared" si="4"/>
        <v>3.5483870967741936E-2</v>
      </c>
      <c r="Q21" t="s">
        <v>44</v>
      </c>
      <c r="R21">
        <v>1.103E-2</v>
      </c>
      <c r="S21" t="s">
        <v>51</v>
      </c>
      <c r="T21">
        <f t="shared" si="7"/>
        <v>1.103E-4</v>
      </c>
    </row>
    <row r="22" spans="1:21" x14ac:dyDescent="0.25">
      <c r="A22" t="s">
        <v>68</v>
      </c>
      <c r="B22">
        <f>(B14-B13)/(B21*SQRT(2/9))</f>
        <v>2.0446002650646595</v>
      </c>
      <c r="D22" s="3" t="s">
        <v>30</v>
      </c>
      <c r="E22" s="3">
        <f>AVERAGE(E12:E21)</f>
        <v>3.5797391168826687E-2</v>
      </c>
      <c r="F22" s="3">
        <f>AVERAGE(F12:F21)</f>
        <v>3.5531816919120225E-2</v>
      </c>
      <c r="Q22" t="s">
        <v>45</v>
      </c>
      <c r="R22">
        <v>1.762E-2</v>
      </c>
      <c r="S22" t="s">
        <v>52</v>
      </c>
      <c r="T22">
        <f t="shared" si="7"/>
        <v>1.762E-4</v>
      </c>
    </row>
    <row r="23" spans="1:21" x14ac:dyDescent="0.25">
      <c r="D23" s="3" t="s">
        <v>31</v>
      </c>
      <c r="E23" s="3">
        <f>STDEV(E12:E21)</f>
        <v>2.6428632396683857E-4</v>
      </c>
      <c r="F23" s="3">
        <f>STDEV(F12:F21)</f>
        <v>2.8874358509004385E-4</v>
      </c>
      <c r="Q23" t="s">
        <v>46</v>
      </c>
      <c r="R23">
        <v>2.563E-2</v>
      </c>
      <c r="S23" t="s">
        <v>53</v>
      </c>
      <c r="T23">
        <f t="shared" si="7"/>
        <v>2.563E-4</v>
      </c>
    </row>
    <row r="24" spans="1:21" x14ac:dyDescent="0.25">
      <c r="D24" s="3" t="s">
        <v>32</v>
      </c>
      <c r="E24" s="3">
        <f>E22+E23</f>
        <v>3.6061677492793529E-2</v>
      </c>
      <c r="F24" s="3">
        <f>F22+F23</f>
        <v>3.5820560504210272E-2</v>
      </c>
      <c r="Q24" t="s">
        <v>47</v>
      </c>
      <c r="R24">
        <v>4.4119999999999999E-2</v>
      </c>
      <c r="S24" t="s">
        <v>54</v>
      </c>
      <c r="T24">
        <f t="shared" si="7"/>
        <v>4.4119999999999999E-4</v>
      </c>
    </row>
    <row r="25" spans="1:21" x14ac:dyDescent="0.25">
      <c r="D25" s="3" t="s">
        <v>33</v>
      </c>
      <c r="E25" s="3">
        <f>E22-E23</f>
        <v>3.5533104844859845E-2</v>
      </c>
      <c r="F25" s="3">
        <f>F22-F23</f>
        <v>3.5243073334030178E-2</v>
      </c>
    </row>
    <row r="26" spans="1:21" x14ac:dyDescent="0.25">
      <c r="Q26" t="s">
        <v>55</v>
      </c>
      <c r="R26">
        <f>T18/(4*3.1415*(T10^3)/3)</f>
        <v>7792.3178901683905</v>
      </c>
      <c r="T26" t="s">
        <v>62</v>
      </c>
      <c r="U26">
        <v>1255</v>
      </c>
    </row>
    <row r="27" spans="1:21" x14ac:dyDescent="0.25">
      <c r="I27" t="s">
        <v>28</v>
      </c>
      <c r="Q27" t="s">
        <v>56</v>
      </c>
      <c r="R27">
        <f t="shared" ref="R27:R32" si="8">T19/(4*3.1415*(T11^3)/3)</f>
        <v>7782.9062549737382</v>
      </c>
    </row>
    <row r="28" spans="1:21" x14ac:dyDescent="0.25">
      <c r="Q28" t="s">
        <v>57</v>
      </c>
      <c r="R28">
        <f t="shared" si="8"/>
        <v>7798.567563265955</v>
      </c>
    </row>
    <row r="29" spans="1:21" x14ac:dyDescent="0.25">
      <c r="Q29" t="s">
        <v>58</v>
      </c>
      <c r="R29">
        <f t="shared" si="8"/>
        <v>7802.3590995101413</v>
      </c>
    </row>
    <row r="30" spans="1:21" x14ac:dyDescent="0.25">
      <c r="Q30" t="s">
        <v>59</v>
      </c>
      <c r="R30">
        <f t="shared" si="8"/>
        <v>7849.0294278280635</v>
      </c>
    </row>
    <row r="31" spans="1:21" x14ac:dyDescent="0.25">
      <c r="Q31" t="s">
        <v>60</v>
      </c>
      <c r="R31">
        <f t="shared" si="8"/>
        <v>7823.323197782036</v>
      </c>
    </row>
    <row r="32" spans="1:21" x14ac:dyDescent="0.25">
      <c r="Q32" t="s">
        <v>61</v>
      </c>
      <c r="R32">
        <f t="shared" si="8"/>
        <v>7813.1980308228231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5B0D-9855-4F55-A7E0-0DFB4EEEE651}">
  <dimension ref="B2:U17"/>
  <sheetViews>
    <sheetView zoomScale="130" zoomScaleNormal="130" workbookViewId="0">
      <selection activeCell="C3" sqref="C3:C9"/>
    </sheetView>
  </sheetViews>
  <sheetFormatPr defaultRowHeight="15" x14ac:dyDescent="0.25"/>
  <sheetData>
    <row r="2" spans="2:21" x14ac:dyDescent="0.25">
      <c r="T2" t="s">
        <v>86</v>
      </c>
      <c r="U2" t="s">
        <v>87</v>
      </c>
    </row>
    <row r="3" spans="2:21" ht="15.75" thickBot="1" x14ac:dyDescent="0.3">
      <c r="B3" s="4" t="s">
        <v>2</v>
      </c>
      <c r="C3" s="5">
        <v>7.9500000000000003E-4</v>
      </c>
      <c r="E3" s="4" t="s">
        <v>55</v>
      </c>
      <c r="F3" s="5">
        <v>7792.3180000000002</v>
      </c>
      <c r="H3" t="s">
        <v>72</v>
      </c>
      <c r="I3" s="7">
        <v>1.0115000000000001E-2</v>
      </c>
      <c r="K3" t="s">
        <v>62</v>
      </c>
      <c r="L3">
        <v>1255</v>
      </c>
      <c r="N3" t="s">
        <v>79</v>
      </c>
      <c r="O3">
        <f>(2*9.8*(F3-$L$3)*C3*C3)/(9*I3)</f>
        <v>0.8895728985051905</v>
      </c>
      <c r="P3">
        <f>(2*9.8*(F3-$L$3)*C3*C3)*R3/(9*I3*I3)</f>
        <v>1.2752157220291903E-2</v>
      </c>
      <c r="R3" s="7">
        <v>1.45E-4</v>
      </c>
      <c r="T3">
        <f>1/(P3*P3)</f>
        <v>6149.3991441041744</v>
      </c>
      <c r="U3">
        <f>O3*T3</f>
        <v>5470.3388206860882</v>
      </c>
    </row>
    <row r="4" spans="2:21" ht="15.75" thickBot="1" x14ac:dyDescent="0.3">
      <c r="B4" s="4" t="s">
        <v>3</v>
      </c>
      <c r="C4" s="5">
        <v>1E-3</v>
      </c>
      <c r="E4" s="4" t="s">
        <v>56</v>
      </c>
      <c r="F4" s="5">
        <v>7782.9059999999999</v>
      </c>
      <c r="H4" t="s">
        <v>73</v>
      </c>
      <c r="I4" s="7">
        <v>1.6737999999999999E-2</v>
      </c>
      <c r="N4" t="s">
        <v>80</v>
      </c>
      <c r="O4">
        <f t="shared" ref="O4:O9" si="0">(2*9.8*(F4-$L$3)*C4*C4)/(9*I4)</f>
        <v>0.84934452277585271</v>
      </c>
      <c r="P4">
        <f t="shared" ref="P4:P9" si="1">(2*9.8*(F4-$L$3)*C4*C4)*R4/(9*I4*I4)</f>
        <v>6.4951666217773416E-3</v>
      </c>
      <c r="R4" s="7">
        <v>1.2799999999999999E-4</v>
      </c>
      <c r="T4">
        <f t="shared" ref="T4:T9" si="2">1/(P4*P4)</f>
        <v>23703.878195346435</v>
      </c>
      <c r="U4">
        <f t="shared" ref="U4:U9" si="3">O4*T4</f>
        <v>20132.759113763459</v>
      </c>
    </row>
    <row r="5" spans="2:21" ht="15.75" thickBot="1" x14ac:dyDescent="0.3">
      <c r="B5" s="4" t="s">
        <v>4</v>
      </c>
      <c r="C5" s="5">
        <v>1.25E-3</v>
      </c>
      <c r="E5" s="4" t="s">
        <v>57</v>
      </c>
      <c r="F5" s="5">
        <v>7798.5680000000002</v>
      </c>
      <c r="H5" t="s">
        <v>74</v>
      </c>
      <c r="I5" s="7">
        <v>2.495E-2</v>
      </c>
      <c r="N5" t="s">
        <v>81</v>
      </c>
      <c r="O5">
        <f t="shared" si="0"/>
        <v>0.89243718548207529</v>
      </c>
      <c r="P5">
        <f t="shared" si="1"/>
        <v>9.0853324694367583E-3</v>
      </c>
      <c r="R5" s="7">
        <v>2.5399999999999999E-4</v>
      </c>
      <c r="T5">
        <f t="shared" si="2"/>
        <v>12114.858637025171</v>
      </c>
      <c r="U5">
        <f t="shared" si="3"/>
        <v>10811.750344539954</v>
      </c>
    </row>
    <row r="6" spans="2:21" ht="15.75" thickBot="1" x14ac:dyDescent="0.3">
      <c r="B6" s="4" t="s">
        <v>5</v>
      </c>
      <c r="C6" s="5">
        <v>1.5E-3</v>
      </c>
      <c r="E6" s="4" t="s">
        <v>58</v>
      </c>
      <c r="F6" s="5">
        <v>7802.3590000000004</v>
      </c>
      <c r="H6" t="s">
        <v>75</v>
      </c>
      <c r="I6" s="7">
        <v>3.5541000000000003E-2</v>
      </c>
      <c r="N6" t="s">
        <v>82</v>
      </c>
      <c r="O6">
        <f t="shared" si="0"/>
        <v>0.90267744576686093</v>
      </c>
      <c r="P6">
        <f t="shared" si="1"/>
        <v>3.6573408792782407E-3</v>
      </c>
      <c r="R6" s="7">
        <v>1.44E-4</v>
      </c>
      <c r="T6">
        <f t="shared" si="2"/>
        <v>74759.970179052121</v>
      </c>
      <c r="U6">
        <f t="shared" si="3"/>
        <v>67484.138926833461</v>
      </c>
    </row>
    <row r="7" spans="2:21" ht="15.75" thickBot="1" x14ac:dyDescent="0.3">
      <c r="B7" s="4" t="s">
        <v>6</v>
      </c>
      <c r="C7" s="5">
        <v>1.75E-3</v>
      </c>
      <c r="E7" s="4" t="s">
        <v>59</v>
      </c>
      <c r="F7" s="5">
        <v>7849.0290000000005</v>
      </c>
      <c r="H7" t="s">
        <v>76</v>
      </c>
      <c r="I7" s="7">
        <v>4.9910999999999997E-2</v>
      </c>
      <c r="N7" t="s">
        <v>83</v>
      </c>
      <c r="O7">
        <f t="shared" si="0"/>
        <v>0.8811386283696091</v>
      </c>
      <c r="P7">
        <f t="shared" si="1"/>
        <v>7.0087162241336542E-3</v>
      </c>
      <c r="R7" s="7">
        <v>3.97E-4</v>
      </c>
      <c r="T7">
        <f t="shared" si="2"/>
        <v>20357.434569766705</v>
      </c>
      <c r="U7">
        <f t="shared" si="3"/>
        <v>17937.721973928299</v>
      </c>
    </row>
    <row r="8" spans="2:21" ht="15.75" thickBot="1" x14ac:dyDescent="0.3">
      <c r="B8" s="4" t="s">
        <v>7</v>
      </c>
      <c r="C8" s="5">
        <v>1.9849999999999998E-3</v>
      </c>
      <c r="E8" s="4" t="s">
        <v>60</v>
      </c>
      <c r="F8" s="5">
        <v>7823.3230000000003</v>
      </c>
      <c r="H8" t="s">
        <v>77</v>
      </c>
      <c r="I8" s="7">
        <v>6.1920000000000003E-2</v>
      </c>
      <c r="N8" t="s">
        <v>84</v>
      </c>
      <c r="O8">
        <f t="shared" si="0"/>
        <v>0.91024465557068257</v>
      </c>
      <c r="P8">
        <f t="shared" si="1"/>
        <v>1.7963807640622966E-2</v>
      </c>
      <c r="R8" s="7">
        <v>1.222E-3</v>
      </c>
      <c r="T8">
        <f t="shared" si="2"/>
        <v>3098.868933468942</v>
      </c>
      <c r="U8">
        <f t="shared" si="3"/>
        <v>2820.7288850041255</v>
      </c>
    </row>
    <row r="9" spans="2:21" ht="15.75" thickBot="1" x14ac:dyDescent="0.3">
      <c r="B9" s="4" t="s">
        <v>8</v>
      </c>
      <c r="C9" s="5">
        <v>2.3800000000000002E-3</v>
      </c>
      <c r="E9" s="4" t="s">
        <v>61</v>
      </c>
      <c r="F9" s="5">
        <v>7813.1980000000003</v>
      </c>
      <c r="H9" t="s">
        <v>78</v>
      </c>
      <c r="I9" s="7">
        <v>8.7115999999999999E-2</v>
      </c>
      <c r="N9" t="s">
        <v>85</v>
      </c>
      <c r="O9">
        <f t="shared" si="0"/>
        <v>0.92865430042640484</v>
      </c>
      <c r="P9">
        <f t="shared" si="1"/>
        <v>2.1991526490881964E-2</v>
      </c>
      <c r="R9" s="7">
        <v>2.0630000000000002E-3</v>
      </c>
      <c r="T9">
        <f t="shared" si="2"/>
        <v>2067.7081906671997</v>
      </c>
      <c r="U9">
        <f t="shared" si="3"/>
        <v>1920.1861032899956</v>
      </c>
    </row>
    <row r="10" spans="2:21" x14ac:dyDescent="0.25">
      <c r="T10">
        <f>SUM(T3:T9)</f>
        <v>142252.11784943077</v>
      </c>
      <c r="U10">
        <f>SUM(U3:U9)</f>
        <v>126577.62416804537</v>
      </c>
    </row>
    <row r="11" spans="2:21" x14ac:dyDescent="0.25">
      <c r="O11">
        <v>0.89</v>
      </c>
      <c r="P11">
        <v>0.01</v>
      </c>
    </row>
    <row r="12" spans="2:21" x14ac:dyDescent="0.25">
      <c r="O12">
        <v>0.84899999999999998</v>
      </c>
      <c r="P12">
        <v>7.0000000000000001E-3</v>
      </c>
    </row>
    <row r="13" spans="2:21" x14ac:dyDescent="0.25">
      <c r="O13">
        <v>0.89200000000000002</v>
      </c>
      <c r="P13">
        <v>8.9999999999999993E-3</v>
      </c>
      <c r="T13">
        <f>U10/T10</f>
        <v>0.88981187824580343</v>
      </c>
    </row>
    <row r="14" spans="2:21" ht="15.75" thickBot="1" x14ac:dyDescent="0.3">
      <c r="B14" s="6"/>
      <c r="O14">
        <v>0.90300000000000002</v>
      </c>
      <c r="P14">
        <v>4.0000000000000001E-3</v>
      </c>
      <c r="T14">
        <f>SQRT(1/T10)</f>
        <v>2.6513717801073078E-3</v>
      </c>
    </row>
    <row r="15" spans="2:21" ht="18" thickBot="1" x14ac:dyDescent="0.3">
      <c r="B15" s="6" t="s">
        <v>71</v>
      </c>
      <c r="O15">
        <v>0.88100000000000001</v>
      </c>
      <c r="P15">
        <v>7.0000000000000001E-3</v>
      </c>
    </row>
    <row r="16" spans="2:21" x14ac:dyDescent="0.25">
      <c r="O16">
        <v>0.91</v>
      </c>
      <c r="P16">
        <v>0.02</v>
      </c>
    </row>
    <row r="17" spans="15:16" x14ac:dyDescent="0.25">
      <c r="O17">
        <v>0.93</v>
      </c>
      <c r="P17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C790-0F66-49CD-B2CB-6A619106F734}">
  <dimension ref="A5:B12"/>
  <sheetViews>
    <sheetView workbookViewId="0">
      <selection activeCell="U17" sqref="U17"/>
    </sheetView>
  </sheetViews>
  <sheetFormatPr defaultRowHeight="15" x14ac:dyDescent="0.25"/>
  <sheetData>
    <row r="5" spans="1:2" x14ac:dyDescent="0.25">
      <c r="A5" t="s">
        <v>69</v>
      </c>
      <c r="B5" t="s">
        <v>21</v>
      </c>
    </row>
    <row r="6" spans="1:2" x14ac:dyDescent="0.25">
      <c r="A6">
        <v>7.9500000000000003E-4</v>
      </c>
      <c r="B6">
        <v>1.0109999999999999E-2</v>
      </c>
    </row>
    <row r="7" spans="1:2" x14ac:dyDescent="0.25">
      <c r="A7">
        <v>1E-3</v>
      </c>
      <c r="B7">
        <v>1.6740000000000001E-2</v>
      </c>
    </row>
    <row r="8" spans="1:2" x14ac:dyDescent="0.25">
      <c r="A8">
        <v>1.25E-3</v>
      </c>
      <c r="B8">
        <v>2.495E-2</v>
      </c>
    </row>
    <row r="9" spans="1:2" x14ac:dyDescent="0.25">
      <c r="A9">
        <v>1.5E-3</v>
      </c>
      <c r="B9">
        <v>3.5540000000000002E-2</v>
      </c>
    </row>
    <row r="10" spans="1:2" x14ac:dyDescent="0.25">
      <c r="A10">
        <v>1.75E-3</v>
      </c>
      <c r="B10">
        <v>4.9910000000000003E-2</v>
      </c>
    </row>
    <row r="11" spans="1:2" x14ac:dyDescent="0.25">
      <c r="A11">
        <v>1.9849999999999998E-3</v>
      </c>
      <c r="B11">
        <v>6.1920000000000003E-2</v>
      </c>
    </row>
    <row r="12" spans="1:2" x14ac:dyDescent="0.25">
      <c r="A12">
        <v>2.3800000000000002E-3</v>
      </c>
      <c r="B12">
        <v>8.7120000000000003E-2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7C68-1B0E-4C2E-AF6F-4A341A164D1A}">
  <dimension ref="D4:K21"/>
  <sheetViews>
    <sheetView zoomScale="160" zoomScaleNormal="160" workbookViewId="0">
      <selection activeCell="D4" sqref="D4:K5"/>
    </sheetView>
  </sheetViews>
  <sheetFormatPr defaultRowHeight="15" x14ac:dyDescent="0.25"/>
  <sheetData>
    <row r="4" spans="4:11" ht="18" thickBot="1" x14ac:dyDescent="0.3">
      <c r="D4" s="6" t="s">
        <v>70</v>
      </c>
      <c r="E4" s="7">
        <v>1.0115000000000001E-2</v>
      </c>
      <c r="F4" s="7">
        <v>1.6737999999999999E-2</v>
      </c>
      <c r="G4" s="7">
        <v>2.495E-2</v>
      </c>
      <c r="H4" s="7">
        <v>3.5541000000000003E-2</v>
      </c>
      <c r="I4" s="7">
        <v>4.9910999999999997E-2</v>
      </c>
      <c r="J4" s="7">
        <v>6.1920000000000003E-2</v>
      </c>
      <c r="K4" s="7">
        <v>8.7115999999999999E-2</v>
      </c>
    </row>
    <row r="5" spans="4:11" ht="18" thickBot="1" x14ac:dyDescent="0.3">
      <c r="D5" s="6" t="s">
        <v>71</v>
      </c>
      <c r="E5" s="7">
        <v>1.45E-4</v>
      </c>
      <c r="F5" s="7">
        <v>1.2799999999999999E-4</v>
      </c>
      <c r="G5" s="7">
        <v>2.5399999999999999E-4</v>
      </c>
      <c r="H5" s="7">
        <v>1.44E-4</v>
      </c>
      <c r="I5" s="7">
        <v>3.97E-4</v>
      </c>
      <c r="J5" s="7">
        <v>1.222E-3</v>
      </c>
      <c r="K5" s="7">
        <v>2.0630000000000002E-3</v>
      </c>
    </row>
    <row r="7" spans="4:11" x14ac:dyDescent="0.25">
      <c r="D7" t="s">
        <v>88</v>
      </c>
      <c r="E7">
        <f>LN(E4)</f>
        <v>-4.5937358083624282</v>
      </c>
      <c r="F7">
        <f t="shared" ref="F7:K7" si="0">LN(F4)</f>
        <v>-4.0900736953714549</v>
      </c>
      <c r="G7">
        <f t="shared" si="0"/>
        <v>-3.6908814567846093</v>
      </c>
      <c r="H7">
        <f t="shared" si="0"/>
        <v>-3.3370683193414052</v>
      </c>
      <c r="I7">
        <f t="shared" si="0"/>
        <v>-2.9975138596364217</v>
      </c>
      <c r="J7">
        <f t="shared" si="0"/>
        <v>-2.7819120497006655</v>
      </c>
      <c r="K7">
        <f t="shared" si="0"/>
        <v>-2.4405147150937747</v>
      </c>
    </row>
    <row r="8" spans="4:11" x14ac:dyDescent="0.25">
      <c r="D8" t="s">
        <v>89</v>
      </c>
      <c r="E8">
        <f>E5/E4</f>
        <v>1.4335145823035095E-2</v>
      </c>
      <c r="F8">
        <f t="shared" ref="F8:K8" si="1">F5/F4</f>
        <v>7.6472696857450111E-3</v>
      </c>
      <c r="G8">
        <f t="shared" si="1"/>
        <v>1.0180360721442886E-2</v>
      </c>
      <c r="H8">
        <f t="shared" si="1"/>
        <v>4.051658647758926E-3</v>
      </c>
      <c r="I8">
        <f t="shared" si="1"/>
        <v>7.9541584019554804E-3</v>
      </c>
      <c r="J8">
        <f t="shared" si="1"/>
        <v>1.9735142118863049E-2</v>
      </c>
      <c r="K8">
        <f t="shared" si="1"/>
        <v>2.3681068919601454E-2</v>
      </c>
    </row>
    <row r="14" spans="4:11" x14ac:dyDescent="0.25">
      <c r="D14" t="s">
        <v>91</v>
      </c>
      <c r="E14">
        <f>LN(E15)</f>
        <v>-7.1371684433099425</v>
      </c>
      <c r="F14">
        <f t="shared" ref="F14:K14" si="2">LN(F15)</f>
        <v>-6.9077552789821368</v>
      </c>
      <c r="G14">
        <f t="shared" si="2"/>
        <v>-6.6846117276679271</v>
      </c>
      <c r="H14">
        <f t="shared" si="2"/>
        <v>-6.5022901708739722</v>
      </c>
      <c r="I14">
        <f t="shared" si="2"/>
        <v>-6.3481394910467142</v>
      </c>
      <c r="J14">
        <f t="shared" si="2"/>
        <v>-6.2221363648429833</v>
      </c>
      <c r="K14">
        <f t="shared" si="2"/>
        <v>-6.0406547912987536</v>
      </c>
    </row>
    <row r="15" spans="4:11" x14ac:dyDescent="0.25">
      <c r="D15" s="4" t="s">
        <v>90</v>
      </c>
      <c r="E15" s="5">
        <v>7.9500000000000003E-4</v>
      </c>
      <c r="F15" s="5">
        <v>1E-3</v>
      </c>
      <c r="G15" s="5">
        <v>1.25E-3</v>
      </c>
      <c r="H15" s="5">
        <v>1.5E-3</v>
      </c>
      <c r="I15" s="5">
        <v>1.75E-3</v>
      </c>
      <c r="J15" s="5">
        <v>1.9849999999999998E-3</v>
      </c>
      <c r="K15" s="5">
        <v>2.3800000000000002E-3</v>
      </c>
    </row>
    <row r="16" spans="4:11" x14ac:dyDescent="0.25">
      <c r="D16" s="4" t="s">
        <v>3</v>
      </c>
    </row>
    <row r="17" spans="4:4" x14ac:dyDescent="0.25">
      <c r="D17" s="4" t="s">
        <v>4</v>
      </c>
    </row>
    <row r="18" spans="4:4" x14ac:dyDescent="0.25">
      <c r="D18" s="4" t="s">
        <v>5</v>
      </c>
    </row>
    <row r="19" spans="4:4" x14ac:dyDescent="0.25">
      <c r="D19" s="4" t="s">
        <v>6</v>
      </c>
    </row>
    <row r="20" spans="4:4" x14ac:dyDescent="0.25">
      <c r="D20" s="4" t="s">
        <v>7</v>
      </c>
    </row>
    <row r="21" spans="4:4" x14ac:dyDescent="0.25">
      <c r="D21" s="4" t="s">
        <v>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CEC0-9B3B-4B0B-BB1C-52030974CD0B}">
  <dimension ref="D6:N16"/>
  <sheetViews>
    <sheetView workbookViewId="0">
      <selection activeCell="N14" sqref="N14"/>
    </sheetView>
  </sheetViews>
  <sheetFormatPr defaultRowHeight="15" x14ac:dyDescent="0.25"/>
  <cols>
    <col min="11" max="11" width="12" bestFit="1" customWidth="1"/>
  </cols>
  <sheetData>
    <row r="6" spans="4:14" x14ac:dyDescent="0.25">
      <c r="D6" s="4" t="s">
        <v>2</v>
      </c>
      <c r="E6" s="5">
        <v>7.9500000000000003E-4</v>
      </c>
      <c r="G6" t="s">
        <v>41</v>
      </c>
      <c r="H6">
        <v>1.64E-3</v>
      </c>
      <c r="J6" t="s">
        <v>92</v>
      </c>
      <c r="K6">
        <f>100*4*3.14*(E6*E6*E6)/3</f>
        <v>2.1036320099999998E-7</v>
      </c>
      <c r="M6" t="s">
        <v>34</v>
      </c>
      <c r="N6">
        <f>H6/K6</f>
        <v>7796.0403350203833</v>
      </c>
    </row>
    <row r="7" spans="4:14" x14ac:dyDescent="0.25">
      <c r="D7" s="4" t="s">
        <v>3</v>
      </c>
      <c r="E7" s="5">
        <v>1E-3</v>
      </c>
      <c r="G7" t="s">
        <v>42</v>
      </c>
      <c r="H7">
        <v>3.2599999999999999E-3</v>
      </c>
      <c r="J7" t="s">
        <v>93</v>
      </c>
      <c r="K7">
        <f t="shared" ref="K7:K12" si="0">100*4*3.14*(E7*E7*E7)/3</f>
        <v>4.1866666666666671E-7</v>
      </c>
      <c r="M7" t="s">
        <v>35</v>
      </c>
      <c r="N7">
        <f t="shared" ref="N7:N12" si="1">H7/K7</f>
        <v>7786.6242038216551</v>
      </c>
    </row>
    <row r="8" spans="4:14" x14ac:dyDescent="0.25">
      <c r="D8" s="4" t="s">
        <v>4</v>
      </c>
      <c r="E8" s="5">
        <v>1.25E-3</v>
      </c>
      <c r="G8" t="s">
        <v>43</v>
      </c>
      <c r="H8">
        <v>6.3800000000000003E-3</v>
      </c>
      <c r="J8" t="s">
        <v>94</v>
      </c>
      <c r="K8">
        <f t="shared" si="0"/>
        <v>8.1770833333333348E-7</v>
      </c>
      <c r="M8" t="s">
        <v>36</v>
      </c>
      <c r="N8">
        <f t="shared" si="1"/>
        <v>7802.2929936305718</v>
      </c>
    </row>
    <row r="9" spans="4:14" x14ac:dyDescent="0.25">
      <c r="D9" s="4" t="s">
        <v>5</v>
      </c>
      <c r="E9" s="5">
        <v>1.5E-3</v>
      </c>
      <c r="G9" t="s">
        <v>44</v>
      </c>
      <c r="H9">
        <v>1.103E-2</v>
      </c>
      <c r="J9" t="s">
        <v>95</v>
      </c>
      <c r="K9">
        <f t="shared" si="0"/>
        <v>1.4130000000000001E-6</v>
      </c>
      <c r="M9" t="s">
        <v>37</v>
      </c>
      <c r="N9">
        <f t="shared" si="1"/>
        <v>7806.0863411181881</v>
      </c>
    </row>
    <row r="10" spans="4:14" x14ac:dyDescent="0.25">
      <c r="D10" s="4" t="s">
        <v>6</v>
      </c>
      <c r="E10" s="5">
        <v>1.75E-3</v>
      </c>
      <c r="G10" t="s">
        <v>45</v>
      </c>
      <c r="H10">
        <v>1.762E-2</v>
      </c>
      <c r="J10" t="s">
        <v>96</v>
      </c>
      <c r="K10">
        <f t="shared" si="0"/>
        <v>2.2437916666666667E-6</v>
      </c>
      <c r="M10" t="s">
        <v>38</v>
      </c>
      <c r="N10">
        <f t="shared" si="1"/>
        <v>7852.7789641789386</v>
      </c>
    </row>
    <row r="11" spans="4:14" x14ac:dyDescent="0.25">
      <c r="D11" s="4" t="s">
        <v>7</v>
      </c>
      <c r="E11" s="5">
        <v>1.9849999999999998E-3</v>
      </c>
      <c r="G11" t="s">
        <v>46</v>
      </c>
      <c r="H11">
        <v>2.563E-2</v>
      </c>
      <c r="J11" t="s">
        <v>97</v>
      </c>
      <c r="K11">
        <f t="shared" si="0"/>
        <v>3.2745371203333326E-6</v>
      </c>
      <c r="M11" t="s">
        <v>39</v>
      </c>
      <c r="N11">
        <f t="shared" si="1"/>
        <v>7827.0604540867098</v>
      </c>
    </row>
    <row r="12" spans="4:14" x14ac:dyDescent="0.25">
      <c r="D12" s="4" t="s">
        <v>8</v>
      </c>
      <c r="E12" s="5">
        <v>2.3800000000000002E-3</v>
      </c>
      <c r="G12" t="s">
        <v>47</v>
      </c>
      <c r="H12">
        <v>4.4119999999999999E-2</v>
      </c>
      <c r="J12" t="s">
        <v>98</v>
      </c>
      <c r="K12">
        <f t="shared" si="0"/>
        <v>5.6441592106666684E-6</v>
      </c>
      <c r="M12" t="s">
        <v>40</v>
      </c>
      <c r="N12">
        <f t="shared" si="1"/>
        <v>7816.9304502643008</v>
      </c>
    </row>
    <row r="13" spans="4:14" x14ac:dyDescent="0.25">
      <c r="H13">
        <f>SUM(H6:H12)</f>
        <v>0.10968</v>
      </c>
      <c r="K13">
        <f>SUM(K6:K12)</f>
        <v>1.4022226198666669E-5</v>
      </c>
      <c r="N13">
        <f>AVERAGE(N6:N12)</f>
        <v>7812.5448203029637</v>
      </c>
    </row>
    <row r="14" spans="4:14" x14ac:dyDescent="0.25">
      <c r="N14">
        <f>_xlfn.STDEV.S(N6:N12)</f>
        <v>22.135235878756767</v>
      </c>
    </row>
    <row r="16" spans="4:14" x14ac:dyDescent="0.25">
      <c r="I16">
        <f>H13/K13</f>
        <v>7821.8678294056572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1A1A-CD27-43B8-BE1B-9B77D667553F}">
  <dimension ref="B3:H13"/>
  <sheetViews>
    <sheetView tabSelected="1" topLeftCell="D6" zoomScale="145" zoomScaleNormal="145" workbookViewId="0">
      <selection activeCell="T16" sqref="T16"/>
    </sheetView>
  </sheetViews>
  <sheetFormatPr defaultRowHeight="15" x14ac:dyDescent="0.25"/>
  <cols>
    <col min="3" max="3" width="12" bestFit="1" customWidth="1"/>
  </cols>
  <sheetData>
    <row r="3" spans="2:8" ht="18" thickBot="1" x14ac:dyDescent="0.3">
      <c r="C3" s="6" t="s">
        <v>70</v>
      </c>
    </row>
    <row r="4" spans="2:8" ht="18" thickBot="1" x14ac:dyDescent="0.3">
      <c r="C4" s="6" t="s">
        <v>71</v>
      </c>
      <c r="E4">
        <v>1.94547740579349</v>
      </c>
    </row>
    <row r="6" spans="2:8" x14ac:dyDescent="0.25">
      <c r="B6" t="s">
        <v>69</v>
      </c>
      <c r="C6" t="s">
        <v>101</v>
      </c>
      <c r="D6" t="s">
        <v>99</v>
      </c>
      <c r="E6" t="s">
        <v>100</v>
      </c>
    </row>
    <row r="7" spans="2:8" ht="15.75" thickBot="1" x14ac:dyDescent="0.3">
      <c r="B7" s="5">
        <v>7.9500000000000003E-4</v>
      </c>
      <c r="C7">
        <f>POWER(B7, $E$4)</f>
        <v>9.3268347588456568E-7</v>
      </c>
      <c r="D7" s="7">
        <v>1.0115000000000001E-2</v>
      </c>
      <c r="E7" s="7">
        <v>1.45E-4</v>
      </c>
      <c r="G7" s="8">
        <v>9.3268300000000004E-7</v>
      </c>
      <c r="H7">
        <f>-0.000185973682976686 + C7*11262.2728075291</f>
        <v>1.031816206550978E-2</v>
      </c>
    </row>
    <row r="8" spans="2:8" ht="15.75" thickBot="1" x14ac:dyDescent="0.3">
      <c r="B8" s="5">
        <v>1E-3</v>
      </c>
      <c r="C8">
        <f t="shared" ref="C8:C13" si="0">POWER(B8, $E$4)</f>
        <v>1.4573631452972527E-6</v>
      </c>
      <c r="D8" s="7">
        <v>1.6737999999999999E-2</v>
      </c>
      <c r="E8" s="7">
        <v>1.2799999999999999E-4</v>
      </c>
      <c r="G8" s="8">
        <v>1.45736E-6</v>
      </c>
      <c r="H8">
        <f t="shared" ref="H8:H13" si="1">-0.000185973682976686 + C8*11262.2728075291</f>
        <v>1.6227247638999645E-2</v>
      </c>
    </row>
    <row r="9" spans="2:8" ht="15.75" thickBot="1" x14ac:dyDescent="0.3">
      <c r="B9" s="5">
        <v>1.25E-3</v>
      </c>
      <c r="C9">
        <f t="shared" si="0"/>
        <v>2.2495933696510465E-6</v>
      </c>
      <c r="D9" s="7">
        <v>2.495E-2</v>
      </c>
      <c r="E9" s="7">
        <v>2.5399999999999999E-4</v>
      </c>
      <c r="G9" s="8">
        <v>2.2495900000000002E-6</v>
      </c>
      <c r="H9">
        <f t="shared" si="1"/>
        <v>2.5149560552042056E-2</v>
      </c>
    </row>
    <row r="10" spans="2:8" ht="15.75" thickBot="1" x14ac:dyDescent="0.3">
      <c r="B10" s="5">
        <v>1.5E-3</v>
      </c>
      <c r="C10">
        <f t="shared" si="0"/>
        <v>3.2073721102492842E-6</v>
      </c>
      <c r="D10" s="7">
        <v>3.5541000000000003E-2</v>
      </c>
      <c r="E10" s="7">
        <v>1.44E-4</v>
      </c>
      <c r="G10" s="8">
        <v>3.20737E-6</v>
      </c>
      <c r="H10">
        <f t="shared" si="1"/>
        <v>3.5936326017911052E-2</v>
      </c>
    </row>
    <row r="11" spans="2:8" ht="15.75" thickBot="1" x14ac:dyDescent="0.3">
      <c r="B11" s="5">
        <v>1.75E-3</v>
      </c>
      <c r="C11">
        <f t="shared" si="0"/>
        <v>4.329052125143349E-6</v>
      </c>
      <c r="D11" s="7">
        <v>4.9910999999999997E-2</v>
      </c>
      <c r="E11" s="7">
        <v>3.97E-4</v>
      </c>
      <c r="G11" s="8">
        <v>4.3290499999999997E-6</v>
      </c>
      <c r="H11">
        <f t="shared" si="1"/>
        <v>4.8568992348401313E-2</v>
      </c>
    </row>
    <row r="12" spans="2:8" ht="15.75" thickBot="1" x14ac:dyDescent="0.3">
      <c r="B12" s="5">
        <v>1.9849999999999998E-3</v>
      </c>
      <c r="C12">
        <f t="shared" si="0"/>
        <v>5.531642813576128E-6</v>
      </c>
      <c r="D12" s="7">
        <v>6.1920000000000003E-2</v>
      </c>
      <c r="E12" s="7">
        <v>1.222E-3</v>
      </c>
      <c r="G12" s="8">
        <v>5.5316399999999999E-6</v>
      </c>
      <c r="H12">
        <f t="shared" si="1"/>
        <v>6.2112896757325502E-2</v>
      </c>
    </row>
    <row r="13" spans="2:8" ht="15.75" thickBot="1" x14ac:dyDescent="0.3">
      <c r="B13" s="5">
        <v>2.3800000000000002E-3</v>
      </c>
      <c r="C13">
        <f t="shared" si="0"/>
        <v>7.8738972668033245E-6</v>
      </c>
      <c r="D13" s="7">
        <v>8.7115999999999999E-2</v>
      </c>
      <c r="E13" s="7">
        <v>2.0630000000000002E-3</v>
      </c>
      <c r="G13" s="8">
        <v>7.8738999999999993E-6</v>
      </c>
      <c r="H13">
        <f t="shared" si="1"/>
        <v>8.84920053942201E-2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Foglio1</vt:lpstr>
      <vt:lpstr>Foglio3</vt:lpstr>
      <vt:lpstr>Foglio2</vt:lpstr>
      <vt:lpstr>Foglio4</vt:lpstr>
      <vt:lpstr>Foglio5</vt:lpstr>
      <vt:lpstr>Foglio6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Ma. Depalo</dc:creator>
  <cp:lastModifiedBy>DEPALO DANIELE MARIA</cp:lastModifiedBy>
  <dcterms:created xsi:type="dcterms:W3CDTF">2025-05-30T06:10:38Z</dcterms:created>
  <dcterms:modified xsi:type="dcterms:W3CDTF">2025-07-08T12:26:53Z</dcterms:modified>
</cp:coreProperties>
</file>